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시각화(0901)" sheetId="1" r:id="rId4"/>
    <sheet state="visible" name="기관정지율" sheetId="2" r:id="rId5"/>
    <sheet state="visible" name="기관부실율" sheetId="3" r:id="rId6"/>
  </sheets>
  <definedNames/>
  <calcPr/>
</workbook>
</file>

<file path=xl/sharedStrings.xml><?xml version="1.0" encoding="utf-8"?>
<sst xmlns="http://schemas.openxmlformats.org/spreadsheetml/2006/main" count="350" uniqueCount="90">
  <si>
    <t>총정지(10.31)</t>
  </si>
  <si>
    <t>SP기준 _ KT단독상품제외, AM,SC포함</t>
  </si>
  <si>
    <t>마케팅기획팀 KPI기준 SP, 장기정지(건수)</t>
  </si>
  <si>
    <t>마케팅기획팀 KPI기준 SP, 장기정지(건수)(월정료)</t>
  </si>
  <si>
    <t>KT단독상품,AM,SC포함(본사기준적용_통합보안만 제외)</t>
  </si>
  <si>
    <t>KT단독상품제외_AM,SC포함(본사기준적용)</t>
  </si>
  <si>
    <t>부실율(건수)</t>
  </si>
  <si>
    <t>(단위 : 건)</t>
  </si>
  <si>
    <t>(단위 : 천원)</t>
  </si>
  <si>
    <t>l형</t>
  </si>
  <si>
    <t>i형</t>
  </si>
  <si>
    <t>전체</t>
  </si>
  <si>
    <t>합계(L+i)</t>
  </si>
  <si>
    <t>SP,AM,SC포함</t>
  </si>
  <si>
    <t>SP만</t>
  </si>
  <si>
    <t>구분</t>
  </si>
  <si>
    <t>L형 건</t>
  </si>
  <si>
    <t>i형 건</t>
  </si>
  <si>
    <t>L+i형 건</t>
  </si>
  <si>
    <t>L형 건 정지율(%)</t>
  </si>
  <si>
    <t>i형 건 정지율(%)</t>
  </si>
  <si>
    <t>L+i형 건 정지율(%)</t>
  </si>
  <si>
    <t>L형 월정료(천원)</t>
  </si>
  <si>
    <t>i형 월정료(천원)</t>
  </si>
  <si>
    <t>L+i형 월정료(천원)</t>
  </si>
  <si>
    <t>L형 월정료 정지율(%)</t>
  </si>
  <si>
    <t>i형 월정료 정지율(%)</t>
  </si>
  <si>
    <t>L+i형 월정료 월정료 정지율(%)</t>
  </si>
  <si>
    <t>강남/서부</t>
  </si>
  <si>
    <t>강북/강원</t>
  </si>
  <si>
    <t>부산/경남</t>
  </si>
  <si>
    <t>전남/전북</t>
  </si>
  <si>
    <t>충남/충북</t>
  </si>
  <si>
    <t>대구/경북</t>
  </si>
  <si>
    <t>합계</t>
  </si>
  <si>
    <t>강남</t>
  </si>
  <si>
    <t>수원</t>
  </si>
  <si>
    <t>분당</t>
  </si>
  <si>
    <t>강동</t>
  </si>
  <si>
    <t>용인</t>
  </si>
  <si>
    <t>평택</t>
  </si>
  <si>
    <t>인천</t>
  </si>
  <si>
    <t>강서</t>
  </si>
  <si>
    <t>부천</t>
  </si>
  <si>
    <t>안산</t>
  </si>
  <si>
    <t>안양</t>
  </si>
  <si>
    <t>관악</t>
  </si>
  <si>
    <t>중앙</t>
  </si>
  <si>
    <t>강북</t>
  </si>
  <si>
    <t>서대문</t>
  </si>
  <si>
    <t>고양</t>
  </si>
  <si>
    <t>의정부</t>
  </si>
  <si>
    <t>남양주</t>
  </si>
  <si>
    <t>강릉</t>
  </si>
  <si>
    <t>원주</t>
  </si>
  <si>
    <t>동부산</t>
  </si>
  <si>
    <t>남부산</t>
  </si>
  <si>
    <t>창원</t>
  </si>
  <si>
    <t>서부산</t>
  </si>
  <si>
    <t>김해</t>
  </si>
  <si>
    <t>울산</t>
  </si>
  <si>
    <t>진주</t>
  </si>
  <si>
    <t>광주</t>
  </si>
  <si>
    <t>전주</t>
  </si>
  <si>
    <t>익산</t>
  </si>
  <si>
    <t>북광주</t>
  </si>
  <si>
    <t>순천</t>
  </si>
  <si>
    <t>제주</t>
  </si>
  <si>
    <t>목포</t>
  </si>
  <si>
    <t>서대전</t>
  </si>
  <si>
    <t>충북</t>
  </si>
  <si>
    <t>천안</t>
  </si>
  <si>
    <t>대전</t>
  </si>
  <si>
    <t>충남서부</t>
  </si>
  <si>
    <t>동대구</t>
  </si>
  <si>
    <t>서대구</t>
  </si>
  <si>
    <t>구미</t>
  </si>
  <si>
    <t>포항</t>
  </si>
  <si>
    <t>강북강원</t>
  </si>
  <si>
    <t>정지율</t>
  </si>
  <si>
    <t>25/06</t>
  </si>
  <si>
    <t>25/07</t>
  </si>
  <si>
    <t>25/08</t>
  </si>
  <si>
    <t>25/09</t>
  </si>
  <si>
    <t>25/10</t>
  </si>
  <si>
    <t>25/11</t>
  </si>
  <si>
    <t>25/11(e)</t>
  </si>
  <si>
    <t>25/12(e)</t>
  </si>
  <si>
    <t>26/1(e)</t>
  </si>
  <si>
    <t>부실율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</si>
</sst>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color theme="1"/>
      <name val="Arial"/>
    </font>
    <font>
      <b/>
      <sz val="9.0"/>
      <color rgb="FFFFFFFF"/>
      <name val="Arial"/>
    </font>
    <font/>
    <font>
      <sz val="9.0"/>
      <color theme="1"/>
      <name val="Arial"/>
    </font>
    <font>
      <b/>
      <sz val="9.0"/>
      <color theme="1"/>
      <name val="Arial"/>
    </font>
    <font>
      <sz val="11.0"/>
      <color rgb="FFFFFFFF"/>
      <name val="Malgun Gothic"/>
    </font>
    <font>
      <sz val="11.0"/>
      <color theme="1"/>
      <name val="Malgun Gothic"/>
    </font>
    <font>
      <sz val="11.0"/>
      <color theme="1"/>
      <name val="Arial"/>
    </font>
    <font>
      <b/>
      <sz val="8.0"/>
      <color theme="1"/>
      <name val="Helvetica Neue"/>
    </font>
    <font>
      <sz val="8.0"/>
      <color theme="1"/>
      <name val="Helvetica Neue"/>
    </font>
    <font>
      <sz val="11.0"/>
      <color theme="1"/>
      <name val="Calibri"/>
    </font>
    <font>
      <color theme="1"/>
      <name val="Arial"/>
      <scheme val="minor"/>
    </font>
    <font>
      <b/>
      <sz val="11.0"/>
      <color theme="1"/>
      <name val="Malgun Gothic"/>
    </font>
    <font>
      <b/>
      <color theme="1"/>
      <name val="Arial"/>
    </font>
  </fonts>
  <fills count="323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00FF"/>
        <bgColor rgb="FFFF00FF"/>
      </patternFill>
    </fill>
    <fill>
      <patternFill patternType="solid">
        <fgColor rgb="FF375623"/>
        <bgColor rgb="FF375623"/>
      </patternFill>
    </fill>
    <fill>
      <patternFill patternType="solid">
        <fgColor rgb="FFA64D79"/>
        <bgColor rgb="FFA64D79"/>
      </patternFill>
    </fill>
    <fill>
      <patternFill patternType="solid">
        <fgColor rgb="FF808080"/>
        <bgColor rgb="FF808080"/>
      </patternFill>
    </fill>
    <fill>
      <patternFill patternType="solid">
        <fgColor rgb="FF0070C0"/>
        <bgColor rgb="FF0070C0"/>
      </patternFill>
    </fill>
    <fill>
      <patternFill patternType="solid">
        <fgColor rgb="FF0D0D0D"/>
        <bgColor rgb="FF0D0D0D"/>
      </patternFill>
    </fill>
    <fill>
      <patternFill patternType="solid">
        <fgColor rgb="FFC65911"/>
        <bgColor rgb="FFC65911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9FBADE"/>
        <bgColor rgb="FF9FBADE"/>
      </patternFill>
    </fill>
    <fill>
      <patternFill patternType="solid">
        <fgColor rgb="FFFA979A"/>
        <bgColor rgb="FFFA979A"/>
      </patternFill>
    </fill>
    <fill>
      <patternFill patternType="solid">
        <fgColor rgb="FFFCE6E9"/>
        <bgColor rgb="FFFCE6E9"/>
      </patternFill>
    </fill>
    <fill>
      <patternFill patternType="solid">
        <fgColor rgb="FFF96C6E"/>
        <bgColor rgb="FFF96C6E"/>
      </patternFill>
    </fill>
    <fill>
      <patternFill patternType="solid">
        <fgColor rgb="FFFBBBBE"/>
        <bgColor rgb="FFFBBBBE"/>
      </patternFill>
    </fill>
    <fill>
      <patternFill patternType="solid">
        <fgColor rgb="FFFBB5B7"/>
        <bgColor rgb="FFFBB5B7"/>
      </patternFill>
    </fill>
    <fill>
      <patternFill patternType="solid">
        <fgColor rgb="FF84A7D4"/>
        <bgColor rgb="FF84A7D4"/>
      </patternFill>
    </fill>
    <fill>
      <patternFill patternType="solid">
        <fgColor rgb="FFFCEAED"/>
        <bgColor rgb="FFFCEAED"/>
      </patternFill>
    </fill>
    <fill>
      <patternFill patternType="solid">
        <fgColor rgb="FFCDDBEE"/>
        <bgColor rgb="FFCDDBEE"/>
      </patternFill>
    </fill>
    <fill>
      <patternFill patternType="solid">
        <fgColor rgb="FFFAADB0"/>
        <bgColor rgb="FFFAADB0"/>
      </patternFill>
    </fill>
    <fill>
      <patternFill patternType="solid">
        <fgColor rgb="FFFCFBFE"/>
        <bgColor rgb="FFFCFBFE"/>
      </patternFill>
    </fill>
    <fill>
      <patternFill patternType="solid">
        <fgColor rgb="FFE0E8F5"/>
        <bgColor rgb="FFE0E8F5"/>
      </patternFill>
    </fill>
    <fill>
      <patternFill patternType="solid">
        <fgColor rgb="FFF8696B"/>
        <bgColor rgb="FFF8696B"/>
      </patternFill>
    </fill>
    <fill>
      <patternFill patternType="solid">
        <fgColor rgb="FFFCEBEE"/>
        <bgColor rgb="FFFCEBEE"/>
      </patternFill>
    </fill>
    <fill>
      <patternFill patternType="solid">
        <fgColor rgb="FFFFFF00"/>
        <bgColor rgb="FFFFFF00"/>
      </patternFill>
    </fill>
    <fill>
      <patternFill patternType="solid">
        <fgColor rgb="FFFBC4C6"/>
        <bgColor rgb="FFFBC4C6"/>
      </patternFill>
    </fill>
    <fill>
      <patternFill patternType="solid">
        <fgColor rgb="FFB8CCE7"/>
        <bgColor rgb="FFB8CCE7"/>
      </patternFill>
    </fill>
    <fill>
      <patternFill patternType="solid">
        <fgColor rgb="FFDFE8F5"/>
        <bgColor rgb="FFDFE8F5"/>
      </patternFill>
    </fill>
    <fill>
      <patternFill patternType="solid">
        <fgColor rgb="FFEBF0F9"/>
        <bgColor rgb="FFEBF0F9"/>
      </patternFill>
    </fill>
    <fill>
      <patternFill patternType="solid">
        <fgColor rgb="FFB4C9E5"/>
        <bgColor rgb="FFB4C9E5"/>
      </patternFill>
    </fill>
    <fill>
      <patternFill patternType="solid">
        <fgColor rgb="FFFBC3C5"/>
        <bgColor rgb="FFFBC3C5"/>
      </patternFill>
    </fill>
    <fill>
      <patternFill patternType="solid">
        <fgColor rgb="FFB4CAE6"/>
        <bgColor rgb="FFB4CAE6"/>
      </patternFill>
    </fill>
    <fill>
      <patternFill patternType="solid">
        <fgColor rgb="FFE4EBF6"/>
        <bgColor rgb="FFE4EBF6"/>
      </patternFill>
    </fill>
    <fill>
      <patternFill patternType="solid">
        <fgColor rgb="FFFBC1C3"/>
        <bgColor rgb="FFFBC1C3"/>
      </patternFill>
    </fill>
    <fill>
      <patternFill patternType="solid">
        <fgColor rgb="FFAAC2E2"/>
        <bgColor rgb="FFAAC2E2"/>
      </patternFill>
    </fill>
    <fill>
      <patternFill patternType="solid">
        <fgColor rgb="FFFAFAFE"/>
        <bgColor rgb="FFFAFAFE"/>
      </patternFill>
    </fill>
    <fill>
      <patternFill patternType="solid">
        <fgColor rgb="FFFA9294"/>
        <bgColor rgb="FFFA9294"/>
      </patternFill>
    </fill>
    <fill>
      <patternFill patternType="solid">
        <fgColor rgb="FFF1F4FB"/>
        <bgColor rgb="FFF1F4FB"/>
      </patternFill>
    </fill>
    <fill>
      <patternFill patternType="solid">
        <fgColor rgb="FFFCDEE1"/>
        <bgColor rgb="FFFCDEE1"/>
      </patternFill>
    </fill>
    <fill>
      <patternFill patternType="solid">
        <fgColor rgb="FFFA9B9D"/>
        <bgColor rgb="FFFA9B9D"/>
      </patternFill>
    </fill>
    <fill>
      <patternFill patternType="solid">
        <fgColor rgb="FFF0F4FB"/>
        <bgColor rgb="FFF0F4FB"/>
      </patternFill>
    </fill>
    <fill>
      <patternFill patternType="solid">
        <fgColor rgb="FFFCE1E3"/>
        <bgColor rgb="FFFCE1E3"/>
      </patternFill>
    </fill>
    <fill>
      <patternFill patternType="solid">
        <fgColor rgb="FFF98E90"/>
        <bgColor rgb="FFF98E90"/>
      </patternFill>
    </fill>
    <fill>
      <patternFill patternType="solid">
        <fgColor rgb="FFFCF2F5"/>
        <bgColor rgb="FFFCF2F5"/>
      </patternFill>
    </fill>
    <fill>
      <patternFill patternType="solid">
        <fgColor rgb="FFFBC9CC"/>
        <bgColor rgb="FFFBC9CC"/>
      </patternFill>
    </fill>
    <fill>
      <patternFill patternType="solid">
        <fgColor rgb="FFF96A6C"/>
        <bgColor rgb="FFF96A6C"/>
      </patternFill>
    </fill>
    <fill>
      <patternFill patternType="solid">
        <fgColor rgb="FFFCEDF0"/>
        <bgColor rgb="FFFCEDF0"/>
      </patternFill>
    </fill>
    <fill>
      <patternFill patternType="solid">
        <fgColor rgb="FFFAB0B2"/>
        <bgColor rgb="FFFAB0B2"/>
      </patternFill>
    </fill>
    <fill>
      <patternFill patternType="solid">
        <fgColor rgb="FFDCE5F3"/>
        <bgColor rgb="FFDCE5F3"/>
      </patternFill>
    </fill>
    <fill>
      <patternFill patternType="solid">
        <fgColor rgb="FFF98C8F"/>
        <bgColor rgb="FFF98C8F"/>
      </patternFill>
    </fill>
    <fill>
      <patternFill patternType="solid">
        <fgColor rgb="FFFA9193"/>
        <bgColor rgb="FFFA9193"/>
      </patternFill>
    </fill>
    <fill>
      <patternFill patternType="solid">
        <fgColor rgb="FF5A8AC6"/>
        <bgColor rgb="FF5A8AC6"/>
      </patternFill>
    </fill>
    <fill>
      <patternFill patternType="solid">
        <fgColor rgb="FF7DA3D2"/>
        <bgColor rgb="FF7DA3D2"/>
      </patternFill>
    </fill>
    <fill>
      <patternFill patternType="solid">
        <fgColor rgb="FFCAD9ED"/>
        <bgColor rgb="FFCAD9ED"/>
      </patternFill>
    </fill>
    <fill>
      <patternFill patternType="solid">
        <fgColor rgb="FF7BA1D1"/>
        <bgColor rgb="FF7BA1D1"/>
      </patternFill>
    </fill>
    <fill>
      <patternFill patternType="solid">
        <fgColor rgb="FF7AA0D1"/>
        <bgColor rgb="FF7AA0D1"/>
      </patternFill>
    </fill>
    <fill>
      <patternFill patternType="solid">
        <fgColor rgb="FFFCEFF1"/>
        <bgColor rgb="FFFCEFF1"/>
      </patternFill>
    </fill>
    <fill>
      <patternFill patternType="solid">
        <fgColor rgb="FF98B6DC"/>
        <bgColor rgb="FF98B6DC"/>
      </patternFill>
    </fill>
    <fill>
      <patternFill patternType="solid">
        <fgColor rgb="FF87AAD6"/>
        <bgColor rgb="FF87AAD6"/>
      </patternFill>
    </fill>
    <fill>
      <patternFill patternType="solid">
        <fgColor rgb="FFF3F6FC"/>
        <bgColor rgb="FFF3F6FC"/>
      </patternFill>
    </fill>
    <fill>
      <patternFill patternType="solid">
        <fgColor rgb="FFD8E3F2"/>
        <bgColor rgb="FFD8E3F2"/>
      </patternFill>
    </fill>
    <fill>
      <patternFill patternType="solid">
        <fgColor rgb="FFE8EEF8"/>
        <bgColor rgb="FFE8EEF8"/>
      </patternFill>
    </fill>
    <fill>
      <patternFill patternType="solid">
        <fgColor rgb="FFD3DFF0"/>
        <bgColor rgb="FFD3DFF0"/>
      </patternFill>
    </fill>
    <fill>
      <patternFill patternType="solid">
        <fgColor rgb="FFD9D9D9"/>
        <bgColor rgb="FFD9D9D9"/>
      </patternFill>
    </fill>
    <fill>
      <patternFill patternType="solid">
        <fgColor rgb="FF9EBADE"/>
        <bgColor rgb="FF9EBADE"/>
      </patternFill>
    </fill>
    <fill>
      <patternFill patternType="solid">
        <fgColor rgb="FFD1DDEF"/>
        <bgColor rgb="FFD1DDEF"/>
      </patternFill>
    </fill>
    <fill>
      <patternFill patternType="solid">
        <fgColor rgb="FFA7C0E1"/>
        <bgColor rgb="FFA7C0E1"/>
      </patternFill>
    </fill>
    <fill>
      <patternFill patternType="solid">
        <fgColor rgb="FF9DB9DD"/>
        <bgColor rgb="FF9DB9DD"/>
      </patternFill>
    </fill>
    <fill>
      <patternFill patternType="solid">
        <fgColor rgb="FFD4E0F1"/>
        <bgColor rgb="FFD4E0F1"/>
      </patternFill>
    </fill>
    <fill>
      <patternFill patternType="solid">
        <fgColor rgb="FFA4BEE0"/>
        <bgColor rgb="FFA4BEE0"/>
      </patternFill>
    </fill>
    <fill>
      <patternFill patternType="solid">
        <fgColor rgb="FF90B0D9"/>
        <bgColor rgb="FF90B0D9"/>
      </patternFill>
    </fill>
    <fill>
      <patternFill patternType="solid">
        <fgColor rgb="FFFCE0E3"/>
        <bgColor rgb="FFFCE0E3"/>
      </patternFill>
    </fill>
    <fill>
      <patternFill patternType="solid">
        <fgColor rgb="FF5D8CC7"/>
        <bgColor rgb="FF5D8CC7"/>
      </patternFill>
    </fill>
    <fill>
      <patternFill patternType="solid">
        <fgColor rgb="FFECF1F9"/>
        <bgColor rgb="FFECF1F9"/>
      </patternFill>
    </fill>
    <fill>
      <patternFill patternType="solid">
        <fgColor rgb="FF9AB7DC"/>
        <bgColor rgb="FF9AB7DC"/>
      </patternFill>
    </fill>
    <fill>
      <patternFill patternType="solid">
        <fgColor rgb="FFB1C7E4"/>
        <bgColor rgb="FFB1C7E4"/>
      </patternFill>
    </fill>
    <fill>
      <patternFill patternType="solid">
        <fgColor rgb="FFEFF3FA"/>
        <bgColor rgb="FFEFF3FA"/>
      </patternFill>
    </fill>
    <fill>
      <patternFill patternType="solid">
        <fgColor rgb="FFFBD1D3"/>
        <bgColor rgb="FFFBD1D3"/>
      </patternFill>
    </fill>
    <fill>
      <patternFill patternType="solid">
        <fgColor rgb="FFFCFCFF"/>
        <bgColor rgb="FFFCFCFF"/>
      </patternFill>
    </fill>
    <fill>
      <patternFill patternType="solid">
        <fgColor rgb="FFFCDFE1"/>
        <bgColor rgb="FFFCDFE1"/>
      </patternFill>
    </fill>
    <fill>
      <patternFill patternType="solid">
        <fgColor rgb="FFFCDDE0"/>
        <bgColor rgb="FFFCDDE0"/>
      </patternFill>
    </fill>
    <fill>
      <patternFill patternType="solid">
        <fgColor rgb="FFFCE9EC"/>
        <bgColor rgb="FFFCE9EC"/>
      </patternFill>
    </fill>
    <fill>
      <patternFill patternType="solid">
        <fgColor rgb="FFBFD1E9"/>
        <bgColor rgb="FFBFD1E9"/>
      </patternFill>
    </fill>
    <fill>
      <patternFill patternType="solid">
        <fgColor rgb="FFFAA7AA"/>
        <bgColor rgb="FFFAA7AA"/>
      </patternFill>
    </fill>
    <fill>
      <patternFill patternType="solid">
        <fgColor rgb="FFFBC0C3"/>
        <bgColor rgb="FFFBC0C3"/>
      </patternFill>
    </fill>
    <fill>
      <patternFill patternType="solid">
        <fgColor rgb="FFFAB1B3"/>
        <bgColor rgb="FFFAB1B3"/>
      </patternFill>
    </fill>
    <fill>
      <patternFill patternType="solid">
        <fgColor rgb="FFFBC8CB"/>
        <bgColor rgb="FFFBC8CB"/>
      </patternFill>
    </fill>
    <fill>
      <patternFill patternType="solid">
        <fgColor rgb="FFF2F5FB"/>
        <bgColor rgb="FFF2F5FB"/>
      </patternFill>
    </fill>
    <fill>
      <patternFill patternType="solid">
        <fgColor rgb="FFFBD1D4"/>
        <bgColor rgb="FFFBD1D4"/>
      </patternFill>
    </fill>
    <fill>
      <patternFill patternType="solid">
        <fgColor rgb="FFFBB8BA"/>
        <bgColor rgb="FFFBB8BA"/>
      </patternFill>
    </fill>
    <fill>
      <patternFill patternType="solid">
        <fgColor rgb="FFFCE7EA"/>
        <bgColor rgb="FFFCE7EA"/>
      </patternFill>
    </fill>
    <fill>
      <patternFill patternType="solid">
        <fgColor rgb="FFBDCFE8"/>
        <bgColor rgb="FFBDCFE8"/>
      </patternFill>
    </fill>
    <fill>
      <patternFill patternType="solid">
        <fgColor rgb="FFE3EAF6"/>
        <bgColor rgb="FFE3EAF6"/>
      </patternFill>
    </fill>
    <fill>
      <patternFill patternType="solid">
        <fgColor rgb="FFF8F9FD"/>
        <bgColor rgb="FFF8F9FD"/>
      </patternFill>
    </fill>
    <fill>
      <patternFill patternType="solid">
        <fgColor rgb="FFFCF5F8"/>
        <bgColor rgb="FFFCF5F8"/>
      </patternFill>
    </fill>
    <fill>
      <patternFill patternType="solid">
        <fgColor rgb="FFFCF7FA"/>
        <bgColor rgb="FFFCF7FA"/>
      </patternFill>
    </fill>
    <fill>
      <patternFill patternType="solid">
        <fgColor rgb="FFFCE2E5"/>
        <bgColor rgb="FFFCE2E5"/>
      </patternFill>
    </fill>
    <fill>
      <patternFill patternType="solid">
        <fgColor rgb="FFFCF2F4"/>
        <bgColor rgb="FFFCF2F4"/>
      </patternFill>
    </fill>
    <fill>
      <patternFill patternType="solid">
        <fgColor rgb="FFF9898B"/>
        <bgColor rgb="FFF9898B"/>
      </patternFill>
    </fill>
    <fill>
      <patternFill patternType="solid">
        <fgColor rgb="FFDDE6F4"/>
        <bgColor rgb="FFDDE6F4"/>
      </patternFill>
    </fill>
    <fill>
      <patternFill patternType="solid">
        <fgColor rgb="FFAEC5E3"/>
        <bgColor rgb="FFAEC5E3"/>
      </patternFill>
    </fill>
    <fill>
      <patternFill patternType="solid">
        <fgColor rgb="FFD5E1F1"/>
        <bgColor rgb="FFD5E1F1"/>
      </patternFill>
    </fill>
    <fill>
      <patternFill patternType="solid">
        <fgColor rgb="FFFBCBCD"/>
        <bgColor rgb="FFFBCBCD"/>
      </patternFill>
    </fill>
    <fill>
      <patternFill patternType="solid">
        <fgColor rgb="FF93B2DA"/>
        <bgColor rgb="FF93B2DA"/>
      </patternFill>
    </fill>
    <fill>
      <patternFill patternType="solid">
        <fgColor rgb="FFA8C1E1"/>
        <bgColor rgb="FFA8C1E1"/>
      </patternFill>
    </fill>
    <fill>
      <patternFill patternType="solid">
        <fgColor rgb="FF80A5D3"/>
        <bgColor rgb="FF80A5D3"/>
      </patternFill>
    </fill>
    <fill>
      <patternFill patternType="solid">
        <fgColor rgb="FFEDF1F9"/>
        <bgColor rgb="FFEDF1F9"/>
      </patternFill>
    </fill>
    <fill>
      <patternFill patternType="solid">
        <fgColor rgb="FFB5CAE6"/>
        <bgColor rgb="FFB5CAE6"/>
      </patternFill>
    </fill>
    <fill>
      <patternFill patternType="solid">
        <fgColor rgb="FFFA8F92"/>
        <bgColor rgb="FFFA8F92"/>
      </patternFill>
    </fill>
    <fill>
      <patternFill patternType="solid">
        <fgColor rgb="FFFA9FA2"/>
        <bgColor rgb="FFFA9FA2"/>
      </patternFill>
    </fill>
    <fill>
      <patternFill patternType="solid">
        <fgColor rgb="FFF97D7F"/>
        <bgColor rgb="FFF97D7F"/>
      </patternFill>
    </fill>
    <fill>
      <patternFill patternType="solid">
        <fgColor rgb="FFF96F71"/>
        <bgColor rgb="FFF96F71"/>
      </patternFill>
    </fill>
    <fill>
      <patternFill patternType="solid">
        <fgColor rgb="FFADC4E3"/>
        <bgColor rgb="FFADC4E3"/>
      </patternFill>
    </fill>
    <fill>
      <patternFill patternType="solid">
        <fgColor rgb="FF5F8DC7"/>
        <bgColor rgb="FF5F8DC7"/>
      </patternFill>
    </fill>
    <fill>
      <patternFill patternType="solid">
        <fgColor rgb="FFFAB0B3"/>
        <bgColor rgb="FFFAB0B3"/>
      </patternFill>
    </fill>
    <fill>
      <patternFill patternType="solid">
        <fgColor rgb="FFFBB4B6"/>
        <bgColor rgb="FFFBB4B6"/>
      </patternFill>
    </fill>
    <fill>
      <patternFill patternType="solid">
        <fgColor rgb="FFFCF0F3"/>
        <bgColor rgb="FFFCF0F3"/>
      </patternFill>
    </fill>
    <fill>
      <patternFill patternType="solid">
        <fgColor rgb="FF8FAFD8"/>
        <bgColor rgb="FF8FAFD8"/>
      </patternFill>
    </fill>
    <fill>
      <patternFill patternType="solid">
        <fgColor rgb="FFB0C6E4"/>
        <bgColor rgb="FFB0C6E4"/>
      </patternFill>
    </fill>
    <fill>
      <patternFill patternType="solid">
        <fgColor rgb="FFFA9598"/>
        <bgColor rgb="FFFA9598"/>
      </patternFill>
    </fill>
    <fill>
      <patternFill patternType="solid">
        <fgColor rgb="FF81A5D3"/>
        <bgColor rgb="FF81A5D3"/>
      </patternFill>
    </fill>
    <fill>
      <patternFill patternType="solid">
        <fgColor rgb="FFFBC6C8"/>
        <bgColor rgb="FFFBC6C8"/>
      </patternFill>
    </fill>
    <fill>
      <patternFill patternType="solid">
        <fgColor rgb="FFFAADAF"/>
        <bgColor rgb="FFFAADAF"/>
      </patternFill>
    </fill>
    <fill>
      <patternFill patternType="solid">
        <fgColor rgb="FFFA9EA1"/>
        <bgColor rgb="FFFA9EA1"/>
      </patternFill>
    </fill>
    <fill>
      <patternFill patternType="solid">
        <fgColor rgb="FFFA999B"/>
        <bgColor rgb="FFFA999B"/>
      </patternFill>
    </fill>
    <fill>
      <patternFill patternType="solid">
        <fgColor rgb="FFFBCACD"/>
        <bgColor rgb="FFFBCACD"/>
      </patternFill>
    </fill>
    <fill>
      <patternFill patternType="solid">
        <fgColor rgb="FFFBD7D9"/>
        <bgColor rgb="FFFBD7D9"/>
      </patternFill>
    </fill>
    <fill>
      <patternFill patternType="solid">
        <fgColor rgb="FFFCF9FC"/>
        <bgColor rgb="FFFCF9FC"/>
      </patternFill>
    </fill>
    <fill>
      <patternFill patternType="solid">
        <fgColor rgb="FFFCF1F4"/>
        <bgColor rgb="FFFCF1F4"/>
      </patternFill>
    </fill>
    <fill>
      <patternFill patternType="solid">
        <fgColor rgb="FFFCEFF2"/>
        <bgColor rgb="FFFCEFF2"/>
      </patternFill>
    </fill>
    <fill>
      <patternFill patternType="solid">
        <fgColor rgb="FFDAE4F3"/>
        <bgColor rgb="FFDAE4F3"/>
      </patternFill>
    </fill>
    <fill>
      <patternFill patternType="solid">
        <fgColor rgb="FFFCF3F6"/>
        <bgColor rgb="FFFCF3F6"/>
      </patternFill>
    </fill>
    <fill>
      <patternFill patternType="solid">
        <fgColor rgb="FFB2C8E5"/>
        <bgColor rgb="FFB2C8E5"/>
      </patternFill>
    </fill>
    <fill>
      <patternFill patternType="solid">
        <fgColor rgb="FFFBC8CA"/>
        <bgColor rgb="FFFBC8CA"/>
      </patternFill>
    </fill>
    <fill>
      <patternFill patternType="solid">
        <fgColor rgb="FFFCD8DB"/>
        <bgColor rgb="FFFCD8DB"/>
      </patternFill>
    </fill>
    <fill>
      <patternFill patternType="solid">
        <fgColor rgb="FFE6EDF7"/>
        <bgColor rgb="FFE6EDF7"/>
      </patternFill>
    </fill>
    <fill>
      <patternFill patternType="solid">
        <fgColor rgb="FF97B5DB"/>
        <bgColor rgb="FF97B5DB"/>
      </patternFill>
    </fill>
    <fill>
      <patternFill patternType="solid">
        <fgColor rgb="FFA5BFE0"/>
        <bgColor rgb="FFA5BFE0"/>
      </patternFill>
    </fill>
    <fill>
      <patternFill patternType="solid">
        <fgColor rgb="FFE7EDF7"/>
        <bgColor rgb="FFE7EDF7"/>
      </patternFill>
    </fill>
    <fill>
      <patternFill patternType="solid">
        <fgColor rgb="FFCCDAEE"/>
        <bgColor rgb="FFCCDAEE"/>
      </patternFill>
    </fill>
    <fill>
      <patternFill patternType="solid">
        <fgColor rgb="FFFCE1E4"/>
        <bgColor rgb="FFFCE1E4"/>
      </patternFill>
    </fill>
    <fill>
      <patternFill patternType="solid">
        <fgColor rgb="FF769ED0"/>
        <bgColor rgb="FF769ED0"/>
      </patternFill>
    </fill>
    <fill>
      <patternFill patternType="solid">
        <fgColor rgb="FFFCE8EB"/>
        <bgColor rgb="FFFCE8EB"/>
      </patternFill>
    </fill>
    <fill>
      <patternFill patternType="solid">
        <fgColor rgb="FFC5D5EB"/>
        <bgColor rgb="FFC5D5EB"/>
      </patternFill>
    </fill>
    <fill>
      <patternFill patternType="solid">
        <fgColor rgb="FFF97E81"/>
        <bgColor rgb="FFF97E81"/>
      </patternFill>
    </fill>
    <fill>
      <patternFill patternType="solid">
        <fgColor rgb="FFFCEEF1"/>
        <bgColor rgb="FFFCEEF1"/>
      </patternFill>
    </fill>
    <fill>
      <patternFill patternType="solid">
        <fgColor rgb="FFFCECEF"/>
        <bgColor rgb="FFFCECEF"/>
      </patternFill>
    </fill>
    <fill>
      <patternFill patternType="solid">
        <fgColor rgb="FFB7CBE6"/>
        <bgColor rgb="FFB7CBE6"/>
      </patternFill>
    </fill>
    <fill>
      <patternFill patternType="solid">
        <fgColor rgb="FFB3C8E5"/>
        <bgColor rgb="FFB3C8E5"/>
      </patternFill>
    </fill>
    <fill>
      <patternFill patternType="solid">
        <fgColor rgb="FFD5E0F1"/>
        <bgColor rgb="FFD5E0F1"/>
      </patternFill>
    </fill>
    <fill>
      <patternFill patternType="solid">
        <fgColor rgb="FFFBCCCF"/>
        <bgColor rgb="FFFBCCCF"/>
      </patternFill>
    </fill>
    <fill>
      <patternFill patternType="solid">
        <fgColor rgb="FFF6F7FC"/>
        <bgColor rgb="FFF6F7FC"/>
      </patternFill>
    </fill>
    <fill>
      <patternFill patternType="solid">
        <fgColor rgb="FFFAA1A3"/>
        <bgColor rgb="FFFAA1A3"/>
      </patternFill>
    </fill>
    <fill>
      <patternFill patternType="solid">
        <fgColor rgb="FFFAAEB0"/>
        <bgColor rgb="FFFAAEB0"/>
      </patternFill>
    </fill>
    <fill>
      <patternFill patternType="solid">
        <fgColor rgb="FFFBB9BB"/>
        <bgColor rgb="FFFBB9BB"/>
      </patternFill>
    </fill>
    <fill>
      <patternFill patternType="solid">
        <fgColor rgb="FFF98B8D"/>
        <bgColor rgb="FFF98B8D"/>
      </patternFill>
    </fill>
    <fill>
      <patternFill patternType="solid">
        <fgColor rgb="FFFA9D9F"/>
        <bgColor rgb="FFFA9D9F"/>
      </patternFill>
    </fill>
    <fill>
      <patternFill patternType="solid">
        <fgColor rgb="FFFBC5C8"/>
        <bgColor rgb="FFFBC5C8"/>
      </patternFill>
    </fill>
    <fill>
      <patternFill patternType="solid">
        <fgColor rgb="FF6D97CC"/>
        <bgColor rgb="FF6D97CC"/>
      </patternFill>
    </fill>
    <fill>
      <patternFill patternType="solid">
        <fgColor rgb="FFFBB5B8"/>
        <bgColor rgb="FFFBB5B8"/>
      </patternFill>
    </fill>
    <fill>
      <patternFill patternType="solid">
        <fgColor rgb="FFFCE4E7"/>
        <bgColor rgb="FFFCE4E7"/>
      </patternFill>
    </fill>
    <fill>
      <patternFill patternType="solid">
        <fgColor rgb="FFD6E1F1"/>
        <bgColor rgb="FFD6E1F1"/>
      </patternFill>
    </fill>
    <fill>
      <patternFill patternType="solid">
        <fgColor rgb="FFFBCED1"/>
        <bgColor rgb="FFFBCED1"/>
      </patternFill>
    </fill>
    <fill>
      <patternFill patternType="solid">
        <fgColor rgb="FFFCDADD"/>
        <bgColor rgb="FFFCDADD"/>
      </patternFill>
    </fill>
    <fill>
      <patternFill patternType="solid">
        <fgColor rgb="FFF97577"/>
        <bgColor rgb="FFF97577"/>
      </patternFill>
    </fill>
    <fill>
      <patternFill patternType="solid">
        <fgColor rgb="FFFCF4F7"/>
        <bgColor rgb="FFFCF4F7"/>
      </patternFill>
    </fill>
    <fill>
      <patternFill patternType="solid">
        <fgColor rgb="FFFBB8BB"/>
        <bgColor rgb="FFFBB8BB"/>
      </patternFill>
    </fill>
    <fill>
      <patternFill patternType="solid">
        <fgColor rgb="FF7FA4D3"/>
        <bgColor rgb="FF7FA4D3"/>
      </patternFill>
    </fill>
    <fill>
      <patternFill patternType="solid">
        <fgColor rgb="FFC1D2EA"/>
        <bgColor rgb="FFC1D2EA"/>
      </patternFill>
    </fill>
    <fill>
      <patternFill patternType="solid">
        <fgColor rgb="FFDCE6F4"/>
        <bgColor rgb="FFDCE6F4"/>
      </patternFill>
    </fill>
    <fill>
      <patternFill patternType="solid">
        <fgColor rgb="FFC6D6EC"/>
        <bgColor rgb="FFC6D6EC"/>
      </patternFill>
    </fill>
    <fill>
      <patternFill patternType="solid">
        <fgColor rgb="FF82A6D4"/>
        <bgColor rgb="FF82A6D4"/>
      </patternFill>
    </fill>
    <fill>
      <patternFill patternType="solid">
        <fgColor rgb="FFFA9092"/>
        <bgColor rgb="FFFA9092"/>
      </patternFill>
    </fill>
    <fill>
      <patternFill patternType="solid">
        <fgColor rgb="FFFBC9CB"/>
        <bgColor rgb="FFFBC9CB"/>
      </patternFill>
    </fill>
    <fill>
      <patternFill patternType="solid">
        <fgColor rgb="FFFAA4A7"/>
        <bgColor rgb="FFFAA4A7"/>
      </patternFill>
    </fill>
    <fill>
      <patternFill patternType="solid">
        <fgColor rgb="FFA6BFE0"/>
        <bgColor rgb="FFA6BFE0"/>
      </patternFill>
    </fill>
    <fill>
      <patternFill patternType="solid">
        <fgColor rgb="FFB0C7E4"/>
        <bgColor rgb="FFB0C7E4"/>
      </patternFill>
    </fill>
    <fill>
      <patternFill patternType="solid">
        <fgColor rgb="FFEAEFF8"/>
        <bgColor rgb="FFEAEFF8"/>
      </patternFill>
    </fill>
    <fill>
      <patternFill patternType="solid">
        <fgColor rgb="FFF7F8FD"/>
        <bgColor rgb="FFF7F8FD"/>
      </patternFill>
    </fill>
    <fill>
      <patternFill patternType="solid">
        <fgColor rgb="FF5F8EC8"/>
        <bgColor rgb="FF5F8EC8"/>
      </patternFill>
    </fill>
    <fill>
      <patternFill patternType="solid">
        <fgColor rgb="FFC4D4EB"/>
        <bgColor rgb="FFC4D4EB"/>
      </patternFill>
    </fill>
    <fill>
      <patternFill patternType="solid">
        <fgColor rgb="FFC0D1E9"/>
        <bgColor rgb="FFC0D1E9"/>
      </patternFill>
    </fill>
    <fill>
      <patternFill patternType="solid">
        <fgColor rgb="FFFBB6B9"/>
        <bgColor rgb="FFFBB6B9"/>
      </patternFill>
    </fill>
    <fill>
      <patternFill patternType="solid">
        <fgColor rgb="FFF9787A"/>
        <bgColor rgb="FFF9787A"/>
      </patternFill>
    </fill>
    <fill>
      <patternFill patternType="solid">
        <fgColor rgb="FFAFC5E3"/>
        <bgColor rgb="FFAFC5E3"/>
      </patternFill>
    </fill>
    <fill>
      <patternFill patternType="solid">
        <fgColor rgb="FFA2BCDF"/>
        <bgColor rgb="FFA2BCDF"/>
      </patternFill>
    </fill>
    <fill>
      <patternFill patternType="solid">
        <fgColor rgb="FFFA9EA0"/>
        <bgColor rgb="FFFA9EA0"/>
      </patternFill>
    </fill>
    <fill>
      <patternFill patternType="solid">
        <fgColor rgb="FFFAA2A4"/>
        <bgColor rgb="FFFAA2A4"/>
      </patternFill>
    </fill>
    <fill>
      <patternFill patternType="solid">
        <fgColor rgb="FFAFC6E4"/>
        <bgColor rgb="FFAFC6E4"/>
      </patternFill>
    </fill>
    <fill>
      <patternFill patternType="solid">
        <fgColor rgb="FFFBD7DA"/>
        <bgColor rgb="FFFBD7DA"/>
      </patternFill>
    </fill>
    <fill>
      <patternFill patternType="solid">
        <fgColor rgb="FFBACDE7"/>
        <bgColor rgb="FFBACDE7"/>
      </patternFill>
    </fill>
    <fill>
      <patternFill patternType="solid">
        <fgColor rgb="FF9EB9DD"/>
        <bgColor rgb="FF9EB9DD"/>
      </patternFill>
    </fill>
    <fill>
      <patternFill patternType="solid">
        <fgColor rgb="FFFCEDEF"/>
        <bgColor rgb="FFFCEDEF"/>
      </patternFill>
    </fill>
    <fill>
      <patternFill patternType="solid">
        <fgColor rgb="FFFCD9DC"/>
        <bgColor rgb="FFFCD9DC"/>
      </patternFill>
    </fill>
    <fill>
      <patternFill patternType="solid">
        <fgColor rgb="FFDBE5F3"/>
        <bgColor rgb="FFDBE5F3"/>
      </patternFill>
    </fill>
    <fill>
      <patternFill patternType="solid">
        <fgColor rgb="FFD9E3F2"/>
        <bgColor rgb="FFD9E3F2"/>
      </patternFill>
    </fill>
    <fill>
      <patternFill patternType="solid">
        <fgColor rgb="FFF0F3FA"/>
        <bgColor rgb="FFF0F3FA"/>
      </patternFill>
    </fill>
    <fill>
      <patternFill patternType="solid">
        <fgColor rgb="FFFCECEE"/>
        <bgColor rgb="FFFCECEE"/>
      </patternFill>
    </fill>
    <fill>
      <patternFill patternType="solid">
        <fgColor rgb="FFFCE5E8"/>
        <bgColor rgb="FFFCE5E8"/>
      </patternFill>
    </fill>
    <fill>
      <patternFill patternType="solid">
        <fgColor rgb="FFFBBCBE"/>
        <bgColor rgb="FFFBBCBE"/>
      </patternFill>
    </fill>
    <fill>
      <patternFill patternType="solid">
        <fgColor rgb="FFA3BDDF"/>
        <bgColor rgb="FFA3BDDF"/>
      </patternFill>
    </fill>
    <fill>
      <patternFill patternType="solid">
        <fgColor rgb="FFFBD4D7"/>
        <bgColor rgb="FFFBD4D7"/>
      </patternFill>
    </fill>
    <fill>
      <patternFill patternType="solid">
        <fgColor rgb="FFD7E2F2"/>
        <bgColor rgb="FFD7E2F2"/>
      </patternFill>
    </fill>
    <fill>
      <patternFill patternType="solid">
        <fgColor rgb="FFFBBDC0"/>
        <bgColor rgb="FFFBBDC0"/>
      </patternFill>
    </fill>
    <fill>
      <patternFill patternType="solid">
        <fgColor rgb="FFFCF6F9"/>
        <bgColor rgb="FFFCF6F9"/>
      </patternFill>
    </fill>
    <fill>
      <patternFill patternType="solid">
        <fgColor rgb="FFF98284"/>
        <bgColor rgb="FFF98284"/>
      </patternFill>
    </fill>
    <fill>
      <patternFill patternType="solid">
        <fgColor rgb="FFFBC7CA"/>
        <bgColor rgb="FFFBC7CA"/>
      </patternFill>
    </fill>
    <fill>
      <patternFill patternType="solid">
        <fgColor rgb="FFFBC4C7"/>
        <bgColor rgb="FFFBC4C7"/>
      </patternFill>
    </fill>
    <fill>
      <patternFill patternType="solid">
        <fgColor rgb="FFF97779"/>
        <bgColor rgb="FFF97779"/>
      </patternFill>
    </fill>
    <fill>
      <patternFill patternType="solid">
        <fgColor rgb="FFFBCED0"/>
        <bgColor rgb="FFFBCED0"/>
      </patternFill>
    </fill>
    <fill>
      <patternFill patternType="solid">
        <fgColor rgb="FFFCE2E4"/>
        <bgColor rgb="FFFCE2E4"/>
      </patternFill>
    </fill>
    <fill>
      <patternFill patternType="solid">
        <fgColor rgb="FFF98385"/>
        <bgColor rgb="FFF98385"/>
      </patternFill>
    </fill>
    <fill>
      <patternFill patternType="solid">
        <fgColor rgb="FFFCF4F6"/>
        <bgColor rgb="FFFCF4F6"/>
      </patternFill>
    </fill>
    <fill>
      <patternFill patternType="solid">
        <fgColor rgb="FFF4F6FC"/>
        <bgColor rgb="FFF4F6FC"/>
      </patternFill>
    </fill>
    <fill>
      <patternFill patternType="solid">
        <fgColor rgb="FFE9EFF8"/>
        <bgColor rgb="FFE9EFF8"/>
      </patternFill>
    </fill>
    <fill>
      <patternFill patternType="solid">
        <fgColor rgb="FF83A7D4"/>
        <bgColor rgb="FF83A7D4"/>
      </patternFill>
    </fill>
    <fill>
      <patternFill patternType="solid">
        <fgColor rgb="FFB2C7E4"/>
        <bgColor rgb="FFB2C7E4"/>
      </patternFill>
    </fill>
    <fill>
      <patternFill patternType="solid">
        <fgColor rgb="FFC2D3EA"/>
        <bgColor rgb="FFC2D3EA"/>
      </patternFill>
    </fill>
    <fill>
      <patternFill patternType="solid">
        <fgColor rgb="FF8DAED8"/>
        <bgColor rgb="FF8DAED8"/>
      </patternFill>
    </fill>
    <fill>
      <patternFill patternType="solid">
        <fgColor rgb="FFFBCFD2"/>
        <bgColor rgb="FFFBCFD2"/>
      </patternFill>
    </fill>
    <fill>
      <patternFill patternType="solid">
        <fgColor rgb="FFCFDCEF"/>
        <bgColor rgb="FFCFDCEF"/>
      </patternFill>
    </fill>
    <fill>
      <patternFill patternType="solid">
        <fgColor rgb="FFFBCACC"/>
        <bgColor rgb="FFFBCACC"/>
      </patternFill>
    </fill>
    <fill>
      <patternFill patternType="solid">
        <fgColor rgb="FFFBD2D5"/>
        <bgColor rgb="FFFBD2D5"/>
      </patternFill>
    </fill>
    <fill>
      <patternFill patternType="solid">
        <fgColor rgb="FFFCDBDD"/>
        <bgColor rgb="FFFCDBDD"/>
      </patternFill>
    </fill>
    <fill>
      <patternFill patternType="solid">
        <fgColor rgb="FFFBC1C4"/>
        <bgColor rgb="FFFBC1C4"/>
      </patternFill>
    </fill>
    <fill>
      <patternFill patternType="solid">
        <fgColor rgb="FF5E8DC7"/>
        <bgColor rgb="FF5E8DC7"/>
      </patternFill>
    </fill>
    <fill>
      <patternFill patternType="solid">
        <fgColor rgb="FFF98386"/>
        <bgColor rgb="FFF98386"/>
      </patternFill>
    </fill>
    <fill>
      <patternFill patternType="solid">
        <fgColor rgb="FFFBC5C7"/>
        <bgColor rgb="FFFBC5C7"/>
      </patternFill>
    </fill>
    <fill>
      <patternFill patternType="solid">
        <fgColor rgb="FFFA989A"/>
        <bgColor rgb="FFFA989A"/>
      </patternFill>
    </fill>
    <fill>
      <patternFill patternType="solid">
        <fgColor rgb="FFFBC2C4"/>
        <bgColor rgb="FFFBC2C4"/>
      </patternFill>
    </fill>
    <fill>
      <patternFill patternType="solid">
        <fgColor rgb="FFFBBFC2"/>
        <bgColor rgb="FFFBBFC2"/>
      </patternFill>
    </fill>
    <fill>
      <patternFill patternType="solid">
        <fgColor rgb="FF95B3DA"/>
        <bgColor rgb="FF95B3DA"/>
      </patternFill>
    </fill>
    <fill>
      <patternFill patternType="solid">
        <fgColor rgb="FFFBBEC0"/>
        <bgColor rgb="FFFBBEC0"/>
      </patternFill>
    </fill>
    <fill>
      <patternFill patternType="solid">
        <fgColor rgb="FFF97B7D"/>
        <bgColor rgb="FFF97B7D"/>
      </patternFill>
    </fill>
    <fill>
      <patternFill patternType="solid">
        <fgColor rgb="FF6793CA"/>
        <bgColor rgb="FF6793CA"/>
      </patternFill>
    </fill>
    <fill>
      <patternFill patternType="solid">
        <fgColor rgb="FF87A9D5"/>
        <bgColor rgb="FF87A9D5"/>
      </patternFill>
    </fill>
    <fill>
      <patternFill patternType="solid">
        <fgColor rgb="FF7EA3D2"/>
        <bgColor rgb="FF7EA3D2"/>
      </patternFill>
    </fill>
    <fill>
      <patternFill patternType="solid">
        <fgColor rgb="FF729BCE"/>
        <bgColor rgb="FF729BCE"/>
      </patternFill>
    </fill>
    <fill>
      <patternFill patternType="solid">
        <fgColor rgb="FF6F99CD"/>
        <bgColor rgb="FF6F99CD"/>
      </patternFill>
    </fill>
    <fill>
      <patternFill patternType="solid">
        <fgColor rgb="FFFCDCDF"/>
        <bgColor rgb="FFFCDCDF"/>
      </patternFill>
    </fill>
    <fill>
      <patternFill patternType="solid">
        <fgColor rgb="FFB7CCE7"/>
        <bgColor rgb="FFB7CCE7"/>
      </patternFill>
    </fill>
    <fill>
      <patternFill patternType="solid">
        <fgColor rgb="FF6B96CC"/>
        <bgColor rgb="FF6B96CC"/>
      </patternFill>
    </fill>
    <fill>
      <patternFill patternType="solid">
        <fgColor rgb="FFFBFBFE"/>
        <bgColor rgb="FFFBFBFE"/>
      </patternFill>
    </fill>
    <fill>
      <patternFill patternType="solid">
        <fgColor rgb="FFFAA2A5"/>
        <bgColor rgb="FFFAA2A5"/>
      </patternFill>
    </fill>
    <fill>
      <patternFill patternType="solid">
        <fgColor rgb="FFFBC3C6"/>
        <bgColor rgb="FFFBC3C6"/>
      </patternFill>
    </fill>
    <fill>
      <patternFill patternType="solid">
        <fgColor rgb="FF79A0D1"/>
        <bgColor rgb="FF79A0D1"/>
      </patternFill>
    </fill>
    <fill>
      <patternFill patternType="solid">
        <fgColor rgb="FF86A8D5"/>
        <bgColor rgb="FF86A8D5"/>
      </patternFill>
    </fill>
    <fill>
      <patternFill patternType="solid">
        <fgColor rgb="FFE2E9F5"/>
        <bgColor rgb="FFE2E9F5"/>
      </patternFill>
    </fill>
    <fill>
      <patternFill patternType="solid">
        <fgColor rgb="FF799FD0"/>
        <bgColor rgb="FF799FD0"/>
      </patternFill>
    </fill>
    <fill>
      <patternFill patternType="solid">
        <fgColor rgb="FFB6CAE6"/>
        <bgColor rgb="FFB6CAE6"/>
      </patternFill>
    </fill>
    <fill>
      <patternFill patternType="solid">
        <fgColor rgb="FFFCDFE2"/>
        <bgColor rgb="FFFCDFE2"/>
      </patternFill>
    </fill>
    <fill>
      <patternFill patternType="solid">
        <fgColor rgb="FFFBBDBF"/>
        <bgColor rgb="FFFBBDBF"/>
      </patternFill>
    </fill>
    <fill>
      <patternFill patternType="solid">
        <fgColor rgb="FFFBC6C9"/>
        <bgColor rgb="FFFBC6C9"/>
      </patternFill>
    </fill>
    <fill>
      <patternFill patternType="solid">
        <fgColor rgb="FFFBD4D6"/>
        <bgColor rgb="FFFBD4D6"/>
      </patternFill>
    </fill>
    <fill>
      <patternFill patternType="solid">
        <fgColor rgb="FF7CA2D2"/>
        <bgColor rgb="FF7CA2D2"/>
      </patternFill>
    </fill>
    <fill>
      <patternFill patternType="solid">
        <fgColor rgb="FFE5ECF7"/>
        <bgColor rgb="FFE5ECF7"/>
      </patternFill>
    </fill>
    <fill>
      <patternFill patternType="solid">
        <fgColor rgb="FFFA9FA1"/>
        <bgColor rgb="FFFA9FA1"/>
      </patternFill>
    </fill>
    <fill>
      <patternFill patternType="solid">
        <fgColor rgb="FFEFF2FA"/>
        <bgColor rgb="FFEFF2FA"/>
      </patternFill>
    </fill>
    <fill>
      <patternFill patternType="solid">
        <fgColor rgb="FFEDF2FA"/>
        <bgColor rgb="FFEDF2FA"/>
      </patternFill>
    </fill>
    <fill>
      <patternFill patternType="solid">
        <fgColor rgb="FFE6ECF7"/>
        <bgColor rgb="FFE6ECF7"/>
      </patternFill>
    </fill>
    <fill>
      <patternFill patternType="solid">
        <fgColor rgb="FFFBCDD0"/>
        <bgColor rgb="FFFBCDD0"/>
      </patternFill>
    </fill>
    <fill>
      <patternFill patternType="solid">
        <fgColor rgb="FFFAABAD"/>
        <bgColor rgb="FFFAABAD"/>
      </patternFill>
    </fill>
    <fill>
      <patternFill patternType="solid">
        <fgColor rgb="FFFBB4B7"/>
        <bgColor rgb="FFFBB4B7"/>
      </patternFill>
    </fill>
    <fill>
      <patternFill patternType="solid">
        <fgColor rgb="FFFCF8FB"/>
        <bgColor rgb="FFFCF8FB"/>
      </patternFill>
    </fill>
    <fill>
      <patternFill patternType="solid">
        <fgColor rgb="FFFBB6B8"/>
        <bgColor rgb="FFFBB6B8"/>
      </patternFill>
    </fill>
    <fill>
      <patternFill patternType="solid">
        <fgColor rgb="FFF5F7FC"/>
        <bgColor rgb="FFF5F7FC"/>
      </patternFill>
    </fill>
    <fill>
      <patternFill patternType="solid">
        <fgColor rgb="FFB6CBE6"/>
        <bgColor rgb="FFB6CBE6"/>
      </patternFill>
    </fill>
    <fill>
      <patternFill patternType="solid">
        <fgColor rgb="FF739BCE"/>
        <bgColor rgb="FF739BCE"/>
      </patternFill>
    </fill>
    <fill>
      <patternFill patternType="solid">
        <fgColor rgb="FF6491C9"/>
        <bgColor rgb="FF6491C9"/>
      </patternFill>
    </fill>
    <fill>
      <patternFill patternType="solid">
        <fgColor rgb="FFD0DDEF"/>
        <bgColor rgb="FFD0DDEF"/>
      </patternFill>
    </fill>
    <fill>
      <patternFill patternType="solid">
        <fgColor rgb="FFFAACAE"/>
        <bgColor rgb="FFFAACAE"/>
      </patternFill>
    </fill>
    <fill>
      <patternFill patternType="solid">
        <fgColor rgb="FFFCE8EA"/>
        <bgColor rgb="FFFCE8EA"/>
      </patternFill>
    </fill>
    <fill>
      <patternFill patternType="solid">
        <fgColor rgb="FFFAAFB2"/>
        <bgColor rgb="FFFAAFB2"/>
      </patternFill>
    </fill>
    <fill>
      <patternFill patternType="solid">
        <fgColor rgb="FFF9888A"/>
        <bgColor rgb="FFF9888A"/>
      </patternFill>
    </fill>
    <fill>
      <patternFill patternType="solid">
        <fgColor rgb="FFFCDEE0"/>
        <bgColor rgb="FFFCDEE0"/>
      </patternFill>
    </fill>
    <fill>
      <patternFill patternType="solid">
        <fgColor rgb="FFFBBABD"/>
        <bgColor rgb="FFFBBABD"/>
      </patternFill>
    </fill>
    <fill>
      <patternFill patternType="solid">
        <fgColor rgb="FFFBD6D8"/>
        <bgColor rgb="FFFBD6D8"/>
      </patternFill>
    </fill>
    <fill>
      <patternFill patternType="solid">
        <fgColor rgb="FFFCDADC"/>
        <bgColor rgb="FFFCDADC"/>
      </patternFill>
    </fill>
    <fill>
      <patternFill patternType="solid">
        <fgColor rgb="FFFBD5D8"/>
        <bgColor rgb="FFFBD5D8"/>
      </patternFill>
    </fill>
    <fill>
      <patternFill patternType="solid">
        <fgColor rgb="FFFBD6D9"/>
        <bgColor rgb="FFFBD6D9"/>
      </patternFill>
    </fill>
    <fill>
      <patternFill patternType="solid">
        <fgColor rgb="FFFBD3D5"/>
        <bgColor rgb="FFFBD3D5"/>
      </patternFill>
    </fill>
    <fill>
      <patternFill patternType="solid">
        <fgColor rgb="FFFAAEB1"/>
        <bgColor rgb="FFFAAEB1"/>
      </patternFill>
    </fill>
    <fill>
      <patternFill patternType="solid">
        <fgColor rgb="FF7099CD"/>
        <bgColor rgb="FF7099CD"/>
      </patternFill>
    </fill>
    <fill>
      <patternFill patternType="solid">
        <fgColor rgb="FF759DCF"/>
        <bgColor rgb="FF759DCF"/>
      </patternFill>
    </fill>
    <fill>
      <patternFill patternType="solid">
        <fgColor rgb="FF628FC8"/>
        <bgColor rgb="FF628FC8"/>
      </patternFill>
    </fill>
    <fill>
      <patternFill patternType="solid">
        <fgColor rgb="FF6591C9"/>
        <bgColor rgb="FF6591C9"/>
      </patternFill>
    </fill>
    <fill>
      <patternFill patternType="solid">
        <fgColor rgb="FF719ACE"/>
        <bgColor rgb="FF719ACE"/>
      </patternFill>
    </fill>
    <fill>
      <patternFill patternType="solid">
        <fgColor rgb="FF6E98CD"/>
        <bgColor rgb="FF6E98CD"/>
      </patternFill>
    </fill>
    <fill>
      <patternFill patternType="solid">
        <fgColor rgb="FF729ACE"/>
        <bgColor rgb="FF729ACE"/>
      </patternFill>
    </fill>
    <fill>
      <patternFill patternType="solid">
        <fgColor rgb="FF618FC8"/>
        <bgColor rgb="FF618FC8"/>
      </patternFill>
    </fill>
    <fill>
      <patternFill patternType="solid">
        <fgColor rgb="FFD2DEF0"/>
        <bgColor rgb="FFD2DEF0"/>
      </patternFill>
    </fill>
    <fill>
      <patternFill patternType="solid">
        <fgColor rgb="FF6C97CC"/>
        <bgColor rgb="FF6C97CC"/>
      </patternFill>
    </fill>
    <fill>
      <patternFill patternType="solid">
        <fgColor rgb="FF99B6DC"/>
        <bgColor rgb="FF99B6DC"/>
      </patternFill>
    </fill>
    <fill>
      <patternFill patternType="solid">
        <fgColor rgb="FFC4D5EB"/>
        <bgColor rgb="FFC4D5EB"/>
      </patternFill>
    </fill>
    <fill>
      <patternFill patternType="solid">
        <fgColor rgb="FF6994CB"/>
        <bgColor rgb="FF6994CB"/>
      </patternFill>
    </fill>
    <fill>
      <patternFill patternType="solid">
        <fgColor rgb="FF6391C9"/>
        <bgColor rgb="FF6391C9"/>
      </patternFill>
    </fill>
    <fill>
      <patternFill patternType="solid">
        <fgColor rgb="FFFBB9BC"/>
        <bgColor rgb="FFFBB9BC"/>
      </patternFill>
    </fill>
    <fill>
      <patternFill patternType="solid">
        <fgColor rgb="FF789FD0"/>
        <bgColor rgb="FF789FD0"/>
      </patternFill>
    </fill>
    <fill>
      <patternFill patternType="solid">
        <fgColor rgb="FFD1DEF0"/>
        <bgColor rgb="FFD1DEF0"/>
      </patternFill>
    </fill>
    <fill>
      <patternFill patternType="solid">
        <fgColor rgb="FFF97274"/>
        <bgColor rgb="FFF97274"/>
      </patternFill>
    </fill>
    <fill>
      <patternFill patternType="solid">
        <fgColor rgb="FF739CCF"/>
        <bgColor rgb="FF739CCF"/>
      </patternFill>
    </fill>
    <fill>
      <patternFill patternType="solid">
        <fgColor rgb="FFFAB1B4"/>
        <bgColor rgb="FFFAB1B4"/>
      </patternFill>
    </fill>
    <fill>
      <patternFill patternType="solid">
        <fgColor rgb="FFABC3E2"/>
        <bgColor rgb="FFABC3E2"/>
      </patternFill>
    </fill>
    <fill>
      <patternFill patternType="solid">
        <fgColor rgb="FFFA8F91"/>
        <bgColor rgb="FFFA8F91"/>
      </patternFill>
    </fill>
    <fill>
      <patternFill patternType="solid">
        <fgColor rgb="FFFBBCBF"/>
        <bgColor rgb="FFFBBCBF"/>
      </patternFill>
    </fill>
    <fill>
      <patternFill patternType="solid">
        <fgColor rgb="FF86A9D5"/>
        <bgColor rgb="FF86A9D5"/>
      </patternFill>
    </fill>
    <fill>
      <patternFill patternType="solid">
        <fgColor rgb="FFE2EAF6"/>
        <bgColor rgb="FFE2EAF6"/>
      </patternFill>
    </fill>
    <fill>
      <patternFill patternType="solid">
        <fgColor rgb="FFF4F7FC"/>
        <bgColor rgb="FFF4F7FC"/>
      </patternFill>
    </fill>
    <fill>
      <patternFill patternType="solid">
        <fgColor rgb="FFFCFAFD"/>
        <bgColor rgb="FFFCFAFD"/>
      </patternFill>
    </fill>
    <fill>
      <patternFill patternType="solid">
        <fgColor rgb="FFFCDBDE"/>
        <bgColor rgb="FFFCDBDE"/>
      </patternFill>
    </fill>
    <fill>
      <patternFill patternType="solid">
        <fgColor rgb="FFFBD0D3"/>
        <bgColor rgb="FFFBD0D3"/>
      </patternFill>
    </fill>
    <fill>
      <patternFill patternType="solid">
        <fgColor rgb="FFFBCFD1"/>
        <bgColor rgb="FFFBCFD1"/>
      </patternFill>
    </fill>
    <fill>
      <patternFill patternType="solid">
        <fgColor rgb="FF9900FF"/>
        <bgColor rgb="FF9900FF"/>
      </patternFill>
    </fill>
    <fill>
      <patternFill patternType="solid">
        <fgColor rgb="FF073763"/>
        <bgColor rgb="FF073763"/>
      </patternFill>
    </fill>
    <fill>
      <patternFill patternType="solid">
        <fgColor rgb="FFF2F2F2"/>
        <bgColor rgb="FFF2F2F2"/>
      </patternFill>
    </fill>
    <fill>
      <patternFill patternType="solid">
        <fgColor rgb="FFFAA8AB"/>
        <bgColor rgb="FFFAA8AB"/>
      </patternFill>
    </fill>
    <fill>
      <patternFill patternType="solid">
        <fgColor rgb="FFFAACAF"/>
        <bgColor rgb="FFFAACAF"/>
      </patternFill>
    </fill>
    <fill>
      <patternFill patternType="solid">
        <fgColor rgb="FFA9C2E2"/>
        <bgColor rgb="FFA9C2E2"/>
      </patternFill>
    </fill>
    <fill>
      <patternFill patternType="solid">
        <fgColor rgb="FF94B2DA"/>
        <bgColor rgb="FF94B2DA"/>
      </patternFill>
    </fill>
    <fill>
      <patternFill patternType="solid">
        <fgColor rgb="FFD4D4D4"/>
        <bgColor rgb="FFD4D4D4"/>
      </patternFill>
    </fill>
    <fill>
      <patternFill patternType="solid">
        <fgColor rgb="FFFFF2CC"/>
        <bgColor rgb="FFFFF2CC"/>
      </patternFill>
    </fill>
  </fills>
  <borders count="23">
    <border/>
    <border>
      <right style="thin">
        <color rgb="FFBFBFBF"/>
      </right>
      <top style="thin">
        <color rgb="FFBFBFBF"/>
      </top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E2EFDA"/>
      </left>
      <right style="thin">
        <color rgb="FFE2EFDA"/>
      </right>
      <top style="thin">
        <color rgb="FFE2EFDA"/>
      </top>
      <bottom style="thin">
        <color rgb="FFE2EFDA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</border>
    <border>
      <left style="thin">
        <color rgb="FFE2EFDA"/>
      </left>
      <right style="thin">
        <color rgb="FFE2EFDA"/>
      </right>
      <top style="thin">
        <color rgb="FFE2EFDA"/>
      </top>
    </border>
    <border>
      <left style="thin">
        <color rgb="FF000000"/>
      </left>
      <right style="thin">
        <color rgb="FFE2EFDA"/>
      </right>
      <top style="thin">
        <color rgb="FF000000"/>
      </top>
      <bottom style="thin">
        <color rgb="FFE2EFDA"/>
      </bottom>
    </border>
    <border>
      <top style="thin">
        <color rgb="FF000000"/>
      </top>
    </border>
    <border>
      <left style="thin">
        <color rgb="FFE2EFDA"/>
      </left>
      <right style="thin">
        <color rgb="FFE2EFDA"/>
      </right>
      <top style="thin">
        <color rgb="FF000000"/>
      </top>
      <bottom style="thin">
        <color rgb="FFE2EFDA"/>
      </bottom>
    </border>
    <border>
      <left style="thin">
        <color rgb="FF000000"/>
      </left>
      <right style="thin">
        <color rgb="FFE2EFDA"/>
      </right>
      <top style="thin">
        <color rgb="FFE2EFDA"/>
      </top>
      <bottom style="thin">
        <color rgb="FFE2EFDA"/>
      </bottom>
    </border>
    <border>
      <left style="thin">
        <color rgb="FF000000"/>
      </left>
      <right style="thin">
        <color rgb="FFE2EFDA"/>
      </right>
      <top style="thin">
        <color rgb="FFE2EFDA"/>
      </top>
      <bottom style="thin">
        <color rgb="FF000000"/>
      </bottom>
    </border>
    <border>
      <bottom style="thin">
        <color rgb="FF000000"/>
      </bottom>
    </border>
    <border>
      <left style="thin">
        <color rgb="FFE2EFDA"/>
      </left>
      <right style="thin">
        <color rgb="FFE2EFDA"/>
      </right>
      <top style="thin">
        <color rgb="FFE2EFDA"/>
      </top>
      <bottom style="thin">
        <color rgb="FF000000"/>
      </bottom>
    </border>
    <border>
      <left style="thin">
        <color rgb="FFE2EFDA"/>
      </left>
      <right style="thin">
        <color rgb="FFE2EFDA"/>
      </right>
      <bottom style="thin">
        <color rgb="FFE2EFDA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0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2" fontId="2" numFmtId="0" xfId="0" applyAlignment="1" applyFill="1" applyFont="1">
      <alignment horizontal="center" vertical="bottom"/>
    </xf>
    <xf borderId="0" fillId="3" fontId="2" numFmtId="0" xfId="0" applyAlignment="1" applyFill="1" applyFont="1">
      <alignment horizontal="center" vertical="bottom"/>
    </xf>
    <xf borderId="0" fillId="4" fontId="2" numFmtId="0" xfId="0" applyAlignment="1" applyFill="1" applyFont="1">
      <alignment horizontal="center" vertical="bottom"/>
    </xf>
    <xf borderId="0" fillId="5" fontId="2" numFmtId="0" xfId="0" applyAlignment="1" applyFill="1" applyFont="1">
      <alignment horizontal="center" vertical="bottom"/>
    </xf>
    <xf borderId="1" fillId="6" fontId="1" numFmtId="0" xfId="0" applyAlignment="1" applyBorder="1" applyFill="1" applyFont="1">
      <alignment vertical="bottom"/>
    </xf>
    <xf borderId="2" fillId="7" fontId="2" numFmtId="0" xfId="0" applyAlignment="1" applyBorder="1" applyFill="1" applyFont="1">
      <alignment horizontal="center" vertical="bottom"/>
    </xf>
    <xf borderId="3" fillId="0" fontId="3" numFmtId="0" xfId="0" applyBorder="1" applyFont="1"/>
    <xf borderId="4" fillId="0" fontId="3" numFmtId="0" xfId="0" applyBorder="1" applyFont="1"/>
    <xf borderId="2" fillId="5" fontId="2" numFmtId="0" xfId="0" applyAlignment="1" applyBorder="1" applyFont="1">
      <alignment horizontal="center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5" fillId="6" fontId="1" numFmtId="0" xfId="0" applyAlignment="1" applyBorder="1" applyFont="1">
      <alignment vertical="bottom"/>
    </xf>
    <xf borderId="2" fillId="8" fontId="2" numFmtId="0" xfId="0" applyAlignment="1" applyBorder="1" applyFill="1" applyFont="1">
      <alignment horizontal="center" vertical="bottom"/>
    </xf>
    <xf borderId="2" fillId="9" fontId="2" numFmtId="0" xfId="0" applyAlignment="1" applyBorder="1" applyFill="1" applyFont="1">
      <alignment horizontal="center" vertical="bottom"/>
    </xf>
    <xf borderId="6" fillId="8" fontId="2" numFmtId="0" xfId="0" applyAlignment="1" applyBorder="1" applyFont="1">
      <alignment horizontal="center" vertical="bottom"/>
    </xf>
    <xf borderId="6" fillId="9" fontId="2" numFmtId="0" xfId="0" applyAlignment="1" applyBorder="1" applyFont="1">
      <alignment horizontal="center" vertical="bottom"/>
    </xf>
    <xf borderId="2" fillId="10" fontId="2" numFmtId="0" xfId="0" applyAlignment="1" applyBorder="1" applyFill="1" applyFont="1">
      <alignment horizontal="center" vertical="bottom"/>
    </xf>
    <xf borderId="0" fillId="10" fontId="2" numFmtId="0" xfId="0" applyAlignment="1" applyFont="1">
      <alignment horizontal="center" vertical="bottom"/>
    </xf>
    <xf borderId="7" fillId="6" fontId="2" numFmtId="0" xfId="0" applyAlignment="1" applyBorder="1" applyFont="1">
      <alignment horizontal="center" vertical="bottom"/>
    </xf>
    <xf borderId="7" fillId="8" fontId="2" numFmtId="0" xfId="0" applyAlignment="1" applyBorder="1" applyFont="1">
      <alignment horizontal="center" vertical="bottom"/>
    </xf>
    <xf borderId="0" fillId="8" fontId="2" numFmtId="0" xfId="0" applyAlignment="1" applyFont="1">
      <alignment horizontal="center" vertical="bottom"/>
    </xf>
    <xf borderId="7" fillId="0" fontId="4" numFmtId="0" xfId="0" applyAlignment="1" applyBorder="1" applyFont="1">
      <alignment horizontal="center" readingOrder="0" vertical="bottom"/>
    </xf>
    <xf borderId="8" fillId="11" fontId="4" numFmtId="3" xfId="0" applyAlignment="1" applyBorder="1" applyFill="1" applyFont="1" applyNumberFormat="1">
      <alignment horizontal="center" readingOrder="0" vertical="bottom"/>
    </xf>
    <xf borderId="8" fillId="12" fontId="4" numFmtId="10" xfId="0" applyAlignment="1" applyBorder="1" applyFill="1" applyFont="1" applyNumberFormat="1">
      <alignment horizontal="center" readingOrder="0" vertical="bottom"/>
    </xf>
    <xf borderId="8" fillId="13" fontId="4" numFmtId="10" xfId="0" applyAlignment="1" applyBorder="1" applyFill="1" applyFont="1" applyNumberFormat="1">
      <alignment horizontal="center" readingOrder="0" vertical="bottom"/>
    </xf>
    <xf borderId="8" fillId="14" fontId="4" numFmtId="10" xfId="0" applyAlignment="1" applyBorder="1" applyFill="1" applyFont="1" applyNumberFormat="1">
      <alignment horizontal="center" readingOrder="0" vertical="bottom"/>
    </xf>
    <xf borderId="8" fillId="15" fontId="4" numFmtId="10" xfId="0" applyAlignment="1" applyBorder="1" applyFill="1" applyFont="1" applyNumberFormat="1">
      <alignment horizontal="center" readingOrder="0" vertical="bottom"/>
    </xf>
    <xf borderId="8" fillId="16" fontId="4" numFmtId="10" xfId="0" applyAlignment="1" applyBorder="1" applyFill="1" applyFont="1" applyNumberFormat="1">
      <alignment horizontal="center" readingOrder="0" vertical="bottom"/>
    </xf>
    <xf borderId="8" fillId="17" fontId="4" numFmtId="10" xfId="0" applyAlignment="1" applyBorder="1" applyFill="1" applyFont="1" applyNumberFormat="1">
      <alignment horizontal="center" readingOrder="0" vertical="bottom"/>
    </xf>
    <xf borderId="8" fillId="18" fontId="4" numFmtId="10" xfId="0" applyAlignment="1" applyBorder="1" applyFill="1" applyFont="1" applyNumberFormat="1">
      <alignment horizontal="center" readingOrder="0" vertical="bottom"/>
    </xf>
    <xf borderId="8" fillId="19" fontId="4" numFmtId="10" xfId="0" applyAlignment="1" applyBorder="1" applyFill="1" applyFont="1" applyNumberFormat="1">
      <alignment horizontal="center" readingOrder="0" vertical="bottom"/>
    </xf>
    <xf borderId="8" fillId="20" fontId="4" numFmtId="10" xfId="0" applyAlignment="1" applyBorder="1" applyFill="1" applyFont="1" applyNumberFormat="1">
      <alignment horizontal="center" readingOrder="0" vertical="bottom"/>
    </xf>
    <xf borderId="8" fillId="21" fontId="4" numFmtId="10" xfId="0" applyAlignment="1" applyBorder="1" applyFill="1" applyFont="1" applyNumberFormat="1">
      <alignment horizontal="center" readingOrder="0" vertical="bottom"/>
    </xf>
    <xf borderId="8" fillId="22" fontId="4" numFmtId="10" xfId="0" applyAlignment="1" applyBorder="1" applyFill="1" applyFont="1" applyNumberFormat="1">
      <alignment horizontal="center" readingOrder="0" vertical="bottom"/>
    </xf>
    <xf borderId="8" fillId="23" fontId="4" numFmtId="10" xfId="0" applyAlignment="1" applyBorder="1" applyFill="1" applyFont="1" applyNumberFormat="1">
      <alignment horizontal="center" readingOrder="0" vertical="bottom"/>
    </xf>
    <xf borderId="8" fillId="24" fontId="4" numFmtId="0" xfId="0" applyAlignment="1" applyBorder="1" applyFill="1" applyFont="1">
      <alignment horizontal="center" readingOrder="0" vertical="bottom"/>
    </xf>
    <xf borderId="8" fillId="25" fontId="4" numFmtId="10" xfId="0" applyAlignment="1" applyBorder="1" applyFill="1" applyFont="1" applyNumberFormat="1">
      <alignment horizontal="center" readingOrder="0" vertical="bottom"/>
    </xf>
    <xf borderId="0" fillId="24" fontId="4" numFmtId="10" xfId="0" applyAlignment="1" applyFont="1" applyNumberFormat="1">
      <alignment horizontal="center" vertical="bottom"/>
    </xf>
    <xf borderId="7" fillId="26" fontId="4" numFmtId="0" xfId="0" applyAlignment="1" applyBorder="1" applyFill="1" applyFont="1">
      <alignment horizontal="center" readingOrder="0" vertical="bottom"/>
    </xf>
    <xf borderId="8" fillId="11" fontId="4" numFmtId="0" xfId="0" applyAlignment="1" applyBorder="1" applyFont="1">
      <alignment horizontal="center" readingOrder="0" vertical="bottom"/>
    </xf>
    <xf borderId="8" fillId="27" fontId="4" numFmtId="10" xfId="0" applyAlignment="1" applyBorder="1" applyFill="1" applyFont="1" applyNumberFormat="1">
      <alignment horizontal="center" readingOrder="0" vertical="bottom"/>
    </xf>
    <xf borderId="8" fillId="28" fontId="4" numFmtId="10" xfId="0" applyAlignment="1" applyBorder="1" applyFill="1" applyFont="1" applyNumberFormat="1">
      <alignment horizontal="center" readingOrder="0" vertical="bottom"/>
    </xf>
    <xf borderId="8" fillId="29" fontId="4" numFmtId="10" xfId="0" applyAlignment="1" applyBorder="1" applyFill="1" applyFont="1" applyNumberFormat="1">
      <alignment horizontal="center" readingOrder="0" vertical="bottom"/>
    </xf>
    <xf borderId="8" fillId="30" fontId="4" numFmtId="10" xfId="0" applyAlignment="1" applyBorder="1" applyFill="1" applyFont="1" applyNumberFormat="1">
      <alignment horizontal="center" readingOrder="0" vertical="bottom"/>
    </xf>
    <xf borderId="8" fillId="31" fontId="4" numFmtId="10" xfId="0" applyAlignment="1" applyBorder="1" applyFill="1" applyFont="1" applyNumberFormat="1">
      <alignment horizontal="center" readingOrder="0" vertical="bottom"/>
    </xf>
    <xf borderId="8" fillId="32" fontId="4" numFmtId="10" xfId="0" applyAlignment="1" applyBorder="1" applyFill="1" applyFont="1" applyNumberFormat="1">
      <alignment horizontal="center" readingOrder="0" vertical="bottom"/>
    </xf>
    <xf borderId="8" fillId="33" fontId="4" numFmtId="10" xfId="0" applyAlignment="1" applyBorder="1" applyFill="1" applyFont="1" applyNumberFormat="1">
      <alignment horizontal="center" readingOrder="0" vertical="bottom"/>
    </xf>
    <xf borderId="8" fillId="34" fontId="4" numFmtId="10" xfId="0" applyAlignment="1" applyBorder="1" applyFill="1" applyFont="1" applyNumberFormat="1">
      <alignment horizontal="center" readingOrder="0" vertical="bottom"/>
    </xf>
    <xf borderId="8" fillId="35" fontId="4" numFmtId="10" xfId="0" applyAlignment="1" applyBorder="1" applyFill="1" applyFont="1" applyNumberFormat="1">
      <alignment horizontal="center" readingOrder="0" vertical="bottom"/>
    </xf>
    <xf borderId="8" fillId="36" fontId="4" numFmtId="10" xfId="0" applyAlignment="1" applyBorder="1" applyFill="1" applyFont="1" applyNumberFormat="1">
      <alignment horizontal="center" readingOrder="0" vertical="bottom"/>
    </xf>
    <xf borderId="8" fillId="37" fontId="4" numFmtId="10" xfId="0" applyAlignment="1" applyBorder="1" applyFill="1" applyFont="1" applyNumberFormat="1">
      <alignment horizontal="center" readingOrder="0" vertical="bottom"/>
    </xf>
    <xf borderId="8" fillId="24" fontId="4" numFmtId="10" xfId="0" applyAlignment="1" applyBorder="1" applyFont="1" applyNumberFormat="1">
      <alignment horizontal="center" readingOrder="0" vertical="bottom"/>
    </xf>
    <xf borderId="8" fillId="38" fontId="4" numFmtId="10" xfId="0" applyAlignment="1" applyBorder="1" applyFill="1" applyFont="1" applyNumberFormat="1">
      <alignment horizontal="center" readingOrder="0" vertical="bottom"/>
    </xf>
    <xf borderId="8" fillId="39" fontId="4" numFmtId="10" xfId="0" applyAlignment="1" applyBorder="1" applyFill="1" applyFont="1" applyNumberFormat="1">
      <alignment horizontal="center" readingOrder="0" vertical="bottom"/>
    </xf>
    <xf borderId="8" fillId="40" fontId="4" numFmtId="10" xfId="0" applyAlignment="1" applyBorder="1" applyFill="1" applyFont="1" applyNumberFormat="1">
      <alignment horizontal="center" readingOrder="0" vertical="bottom"/>
    </xf>
    <xf borderId="8" fillId="41" fontId="4" numFmtId="10" xfId="0" applyAlignment="1" applyBorder="1" applyFill="1" applyFont="1" applyNumberFormat="1">
      <alignment horizontal="center" readingOrder="0" vertical="bottom"/>
    </xf>
    <xf borderId="8" fillId="42" fontId="4" numFmtId="10" xfId="0" applyAlignment="1" applyBorder="1" applyFill="1" applyFont="1" applyNumberFormat="1">
      <alignment horizontal="center" readingOrder="0" vertical="bottom"/>
    </xf>
    <xf borderId="8" fillId="43" fontId="4" numFmtId="10" xfId="0" applyAlignment="1" applyBorder="1" applyFill="1" applyFont="1" applyNumberFormat="1">
      <alignment horizontal="center" readingOrder="0" vertical="bottom"/>
    </xf>
    <xf borderId="8" fillId="44" fontId="4" numFmtId="10" xfId="0" applyAlignment="1" applyBorder="1" applyFill="1" applyFont="1" applyNumberFormat="1">
      <alignment horizontal="center" readingOrder="0" vertical="bottom"/>
    </xf>
    <xf borderId="8" fillId="45" fontId="4" numFmtId="10" xfId="0" applyAlignment="1" applyBorder="1" applyFill="1" applyFont="1" applyNumberFormat="1">
      <alignment horizontal="center" readingOrder="0" vertical="bottom"/>
    </xf>
    <xf borderId="8" fillId="46" fontId="4" numFmtId="10" xfId="0" applyAlignment="1" applyBorder="1" applyFill="1" applyFont="1" applyNumberFormat="1">
      <alignment horizontal="center" readingOrder="0" vertical="bottom"/>
    </xf>
    <xf borderId="8" fillId="47" fontId="4" numFmtId="10" xfId="0" applyAlignment="1" applyBorder="1" applyFill="1" applyFont="1" applyNumberFormat="1">
      <alignment horizontal="center" readingOrder="0" vertical="bottom"/>
    </xf>
    <xf borderId="8" fillId="48" fontId="4" numFmtId="10" xfId="0" applyAlignment="1" applyBorder="1" applyFill="1" applyFont="1" applyNumberFormat="1">
      <alignment horizontal="center" readingOrder="0" vertical="bottom"/>
    </xf>
    <xf borderId="8" fillId="49" fontId="4" numFmtId="10" xfId="0" applyAlignment="1" applyBorder="1" applyFill="1" applyFont="1" applyNumberFormat="1">
      <alignment horizontal="center" readingOrder="0" vertical="bottom"/>
    </xf>
    <xf borderId="8" fillId="50" fontId="4" numFmtId="10" xfId="0" applyAlignment="1" applyBorder="1" applyFill="1" applyFont="1" applyNumberFormat="1">
      <alignment horizontal="center" readingOrder="0" vertical="bottom"/>
    </xf>
    <xf borderId="8" fillId="51" fontId="4" numFmtId="10" xfId="0" applyAlignment="1" applyBorder="1" applyFill="1" applyFont="1" applyNumberFormat="1">
      <alignment horizontal="center" readingOrder="0" vertical="bottom"/>
    </xf>
    <xf borderId="8" fillId="52" fontId="4" numFmtId="10" xfId="0" applyAlignment="1" applyBorder="1" applyFill="1" applyFont="1" applyNumberFormat="1">
      <alignment horizontal="center" readingOrder="0" vertical="bottom"/>
    </xf>
    <xf borderId="8" fillId="53" fontId="4" numFmtId="10" xfId="0" applyAlignment="1" applyBorder="1" applyFill="1" applyFont="1" applyNumberFormat="1">
      <alignment horizontal="center" readingOrder="0" vertical="bottom"/>
    </xf>
    <xf borderId="8" fillId="54" fontId="4" numFmtId="10" xfId="0" applyAlignment="1" applyBorder="1" applyFill="1" applyFont="1" applyNumberFormat="1">
      <alignment horizontal="center" readingOrder="0" vertical="bottom"/>
    </xf>
    <xf borderId="8" fillId="55" fontId="4" numFmtId="10" xfId="0" applyAlignment="1" applyBorder="1" applyFill="1" applyFont="1" applyNumberFormat="1">
      <alignment horizontal="center" readingOrder="0" vertical="bottom"/>
    </xf>
    <xf borderId="8" fillId="56" fontId="4" numFmtId="10" xfId="0" applyAlignment="1" applyBorder="1" applyFill="1" applyFont="1" applyNumberFormat="1">
      <alignment horizontal="center" readingOrder="0" vertical="bottom"/>
    </xf>
    <xf borderId="8" fillId="57" fontId="4" numFmtId="10" xfId="0" applyAlignment="1" applyBorder="1" applyFill="1" applyFont="1" applyNumberFormat="1">
      <alignment horizontal="center" readingOrder="0" vertical="bottom"/>
    </xf>
    <xf borderId="8" fillId="58" fontId="4" numFmtId="10" xfId="0" applyAlignment="1" applyBorder="1" applyFill="1" applyFont="1" applyNumberFormat="1">
      <alignment horizontal="center" readingOrder="0" vertical="bottom"/>
    </xf>
    <xf borderId="8" fillId="59" fontId="4" numFmtId="10" xfId="0" applyAlignment="1" applyBorder="1" applyFill="1" applyFont="1" applyNumberFormat="1">
      <alignment horizontal="center" readingOrder="0" vertical="bottom"/>
    </xf>
    <xf borderId="8" fillId="60" fontId="4" numFmtId="10" xfId="0" applyAlignment="1" applyBorder="1" applyFill="1" applyFont="1" applyNumberFormat="1">
      <alignment horizontal="center" readingOrder="0" vertical="bottom"/>
    </xf>
    <xf borderId="8" fillId="61" fontId="4" numFmtId="10" xfId="0" applyAlignment="1" applyBorder="1" applyFill="1" applyFont="1" applyNumberFormat="1">
      <alignment horizontal="center" readingOrder="0" vertical="bottom"/>
    </xf>
    <xf borderId="8" fillId="62" fontId="4" numFmtId="10" xfId="0" applyAlignment="1" applyBorder="1" applyFill="1" applyFont="1" applyNumberFormat="1">
      <alignment horizontal="center" readingOrder="0" vertical="bottom"/>
    </xf>
    <xf borderId="8" fillId="63" fontId="4" numFmtId="10" xfId="0" applyAlignment="1" applyBorder="1" applyFill="1" applyFont="1" applyNumberFormat="1">
      <alignment horizontal="center" readingOrder="0" vertical="bottom"/>
    </xf>
    <xf borderId="8" fillId="64" fontId="4" numFmtId="10" xfId="0" applyAlignment="1" applyBorder="1" applyFill="1" applyFont="1" applyNumberFormat="1">
      <alignment horizontal="center" readingOrder="0" vertical="bottom"/>
    </xf>
    <xf borderId="8" fillId="65" fontId="5" numFmtId="3" xfId="0" applyAlignment="1" applyBorder="1" applyFill="1" applyFont="1" applyNumberFormat="1">
      <alignment horizontal="center" readingOrder="0" vertical="bottom"/>
    </xf>
    <xf borderId="8" fillId="65" fontId="5" numFmtId="10" xfId="0" applyAlignment="1" applyBorder="1" applyFont="1" applyNumberFormat="1">
      <alignment horizontal="center" readingOrder="0" vertical="bottom"/>
    </xf>
    <xf borderId="8" fillId="65" fontId="5" numFmtId="0" xfId="0" applyAlignment="1" applyBorder="1" applyFont="1">
      <alignment horizontal="center" readingOrder="0" vertical="bottom"/>
    </xf>
    <xf borderId="0" fillId="65" fontId="5" numFmtId="10" xfId="0" applyAlignment="1" applyFont="1" applyNumberFormat="1">
      <alignment horizontal="center" vertical="bottom"/>
    </xf>
    <xf borderId="9" fillId="6" fontId="1" numFmtId="0" xfId="0" applyAlignment="1" applyBorder="1" applyFont="1">
      <alignment vertical="bottom"/>
    </xf>
    <xf borderId="0" fillId="9" fontId="2" numFmtId="0" xfId="0" applyAlignment="1" applyFont="1">
      <alignment horizontal="center" vertical="bottom"/>
    </xf>
    <xf borderId="8" fillId="0" fontId="4" numFmtId="0" xfId="0" applyAlignment="1" applyBorder="1" applyFont="1">
      <alignment horizontal="center" readingOrder="0" vertical="bottom"/>
    </xf>
    <xf borderId="8" fillId="66" fontId="4" numFmtId="10" xfId="0" applyAlignment="1" applyBorder="1" applyFill="1" applyFont="1" applyNumberFormat="1">
      <alignment horizontal="center" readingOrder="0" vertical="bottom"/>
    </xf>
    <xf borderId="8" fillId="67" fontId="4" numFmtId="10" xfId="0" applyAlignment="1" applyBorder="1" applyFill="1" applyFont="1" applyNumberFormat="1">
      <alignment horizontal="center" readingOrder="0" vertical="bottom"/>
    </xf>
    <xf borderId="8" fillId="68" fontId="4" numFmtId="10" xfId="0" applyAlignment="1" applyBorder="1" applyFill="1" applyFont="1" applyNumberFormat="1">
      <alignment horizontal="center" readingOrder="0" vertical="bottom"/>
    </xf>
    <xf borderId="8" fillId="0" fontId="4" numFmtId="3" xfId="0" applyAlignment="1" applyBorder="1" applyFont="1" applyNumberFormat="1">
      <alignment horizontal="center" readingOrder="0" vertical="bottom"/>
    </xf>
    <xf borderId="8" fillId="69" fontId="4" numFmtId="10" xfId="0" applyAlignment="1" applyBorder="1" applyFill="1" applyFont="1" applyNumberFormat="1">
      <alignment horizontal="center" readingOrder="0" vertical="bottom"/>
    </xf>
    <xf borderId="8" fillId="70" fontId="4" numFmtId="10" xfId="0" applyAlignment="1" applyBorder="1" applyFill="1" applyFont="1" applyNumberFormat="1">
      <alignment horizontal="center" readingOrder="0" vertical="bottom"/>
    </xf>
    <xf borderId="8" fillId="71" fontId="4" numFmtId="10" xfId="0" applyAlignment="1" applyBorder="1" applyFill="1" applyFont="1" applyNumberFormat="1">
      <alignment horizontal="center" readingOrder="0" vertical="bottom"/>
    </xf>
    <xf borderId="8" fillId="72" fontId="4" numFmtId="10" xfId="0" applyAlignment="1" applyBorder="1" applyFill="1" applyFont="1" applyNumberFormat="1">
      <alignment horizontal="center" readingOrder="0" vertical="bottom"/>
    </xf>
    <xf borderId="8" fillId="73" fontId="4" numFmtId="10" xfId="0" applyAlignment="1" applyBorder="1" applyFill="1" applyFont="1" applyNumberFormat="1">
      <alignment horizontal="center" readingOrder="0" vertical="bottom"/>
    </xf>
    <xf borderId="8" fillId="74" fontId="4" numFmtId="10" xfId="0" applyAlignment="1" applyBorder="1" applyFill="1" applyFont="1" applyNumberFormat="1">
      <alignment horizontal="center" readingOrder="0" vertical="bottom"/>
    </xf>
    <xf borderId="8" fillId="75" fontId="4" numFmtId="10" xfId="0" applyAlignment="1" applyBorder="1" applyFill="1" applyFont="1" applyNumberFormat="1">
      <alignment horizontal="center" readingOrder="0" vertical="bottom"/>
    </xf>
    <xf borderId="8" fillId="76" fontId="4" numFmtId="10" xfId="0" applyAlignment="1" applyBorder="1" applyFill="1" applyFont="1" applyNumberFormat="1">
      <alignment horizontal="center" readingOrder="0" vertical="bottom"/>
    </xf>
    <xf borderId="8" fillId="77" fontId="4" numFmtId="10" xfId="0" applyAlignment="1" applyBorder="1" applyFill="1" applyFont="1" applyNumberFormat="1">
      <alignment horizontal="center" readingOrder="0" vertical="bottom"/>
    </xf>
    <xf borderId="0" fillId="24" fontId="4" numFmtId="0" xfId="0" applyAlignment="1" applyFont="1">
      <alignment horizontal="center" vertical="bottom"/>
    </xf>
    <xf borderId="8" fillId="78" fontId="4" numFmtId="10" xfId="0" applyAlignment="1" applyBorder="1" applyFill="1" applyFont="1" applyNumberFormat="1">
      <alignment horizontal="center" readingOrder="0" vertical="bottom"/>
    </xf>
    <xf borderId="8" fillId="79" fontId="4" numFmtId="10" xfId="0" applyAlignment="1" applyBorder="1" applyFill="1" applyFont="1" applyNumberFormat="1">
      <alignment horizontal="center" readingOrder="0" vertical="bottom"/>
    </xf>
    <xf borderId="8" fillId="80" fontId="4" numFmtId="10" xfId="0" applyAlignment="1" applyBorder="1" applyFill="1" applyFont="1" applyNumberFormat="1">
      <alignment horizontal="center" readingOrder="0" vertical="bottom"/>
    </xf>
    <xf borderId="8" fillId="81" fontId="4" numFmtId="10" xfId="0" applyAlignment="1" applyBorder="1" applyFill="1" applyFont="1" applyNumberFormat="1">
      <alignment horizontal="center" readingOrder="0" vertical="bottom"/>
    </xf>
    <xf borderId="8" fillId="82" fontId="4" numFmtId="10" xfId="0" applyAlignment="1" applyBorder="1" applyFill="1" applyFont="1" applyNumberFormat="1">
      <alignment horizontal="center" readingOrder="0" vertical="bottom"/>
    </xf>
    <xf borderId="8" fillId="83" fontId="4" numFmtId="10" xfId="0" applyAlignment="1" applyBorder="1" applyFill="1" applyFont="1" applyNumberFormat="1">
      <alignment horizontal="center" readingOrder="0" vertical="bottom"/>
    </xf>
    <xf borderId="8" fillId="84" fontId="4" numFmtId="10" xfId="0" applyAlignment="1" applyBorder="1" applyFill="1" applyFont="1" applyNumberFormat="1">
      <alignment horizontal="center" readingOrder="0" vertical="bottom"/>
    </xf>
    <xf borderId="8" fillId="85" fontId="4" numFmtId="10" xfId="0" applyAlignment="1" applyBorder="1" applyFill="1" applyFont="1" applyNumberFormat="1">
      <alignment horizontal="center" readingOrder="0" vertical="bottom"/>
    </xf>
    <xf borderId="8" fillId="86" fontId="4" numFmtId="10" xfId="0" applyAlignment="1" applyBorder="1" applyFill="1" applyFont="1" applyNumberFormat="1">
      <alignment horizontal="center" readingOrder="0" vertical="bottom"/>
    </xf>
    <xf borderId="8" fillId="87" fontId="4" numFmtId="10" xfId="0" applyAlignment="1" applyBorder="1" applyFill="1" applyFont="1" applyNumberFormat="1">
      <alignment horizontal="center" readingOrder="0" vertical="bottom"/>
    </xf>
    <xf borderId="8" fillId="88" fontId="4" numFmtId="10" xfId="0" applyAlignment="1" applyBorder="1" applyFill="1" applyFont="1" applyNumberFormat="1">
      <alignment horizontal="center" readingOrder="0" vertical="bottom"/>
    </xf>
    <xf borderId="8" fillId="89" fontId="4" numFmtId="10" xfId="0" applyAlignment="1" applyBorder="1" applyFill="1" applyFont="1" applyNumberFormat="1">
      <alignment horizontal="center" readingOrder="0" vertical="bottom"/>
    </xf>
    <xf borderId="8" fillId="90" fontId="4" numFmtId="10" xfId="0" applyAlignment="1" applyBorder="1" applyFill="1" applyFont="1" applyNumberFormat="1">
      <alignment horizontal="center" readingOrder="0" vertical="bottom"/>
    </xf>
    <xf borderId="8" fillId="91" fontId="4" numFmtId="10" xfId="0" applyAlignment="1" applyBorder="1" applyFill="1" applyFont="1" applyNumberFormat="1">
      <alignment horizontal="center" readingOrder="0" vertical="bottom"/>
    </xf>
    <xf borderId="8" fillId="92" fontId="4" numFmtId="10" xfId="0" applyAlignment="1" applyBorder="1" applyFill="1" applyFont="1" applyNumberFormat="1">
      <alignment horizontal="center" readingOrder="0" vertical="bottom"/>
    </xf>
    <xf borderId="8" fillId="93" fontId="4" numFmtId="10" xfId="0" applyAlignment="1" applyBorder="1" applyFill="1" applyFont="1" applyNumberFormat="1">
      <alignment horizontal="center" readingOrder="0" vertical="bottom"/>
    </xf>
    <xf borderId="8" fillId="94" fontId="4" numFmtId="10" xfId="0" applyAlignment="1" applyBorder="1" applyFill="1" applyFont="1" applyNumberFormat="1">
      <alignment horizontal="center" readingOrder="0" vertical="bottom"/>
    </xf>
    <xf borderId="8" fillId="95" fontId="4" numFmtId="10" xfId="0" applyAlignment="1" applyBorder="1" applyFill="1" applyFont="1" applyNumberFormat="1">
      <alignment horizontal="center" readingOrder="0" vertical="bottom"/>
    </xf>
    <xf borderId="8" fillId="96" fontId="4" numFmtId="10" xfId="0" applyAlignment="1" applyBorder="1" applyFill="1" applyFont="1" applyNumberFormat="1">
      <alignment horizontal="center" readingOrder="0" vertical="bottom"/>
    </xf>
    <xf borderId="8" fillId="97" fontId="4" numFmtId="10" xfId="0" applyAlignment="1" applyBorder="1" applyFill="1" applyFont="1" applyNumberFormat="1">
      <alignment horizontal="center" readingOrder="0" vertical="bottom"/>
    </xf>
    <xf borderId="8" fillId="98" fontId="4" numFmtId="10" xfId="0" applyAlignment="1" applyBorder="1" applyFill="1" applyFont="1" applyNumberFormat="1">
      <alignment horizontal="center" readingOrder="0" vertical="bottom"/>
    </xf>
    <xf borderId="8" fillId="99" fontId="4" numFmtId="10" xfId="0" applyAlignment="1" applyBorder="1" applyFill="1" applyFont="1" applyNumberFormat="1">
      <alignment horizontal="center" readingOrder="0" vertical="bottom"/>
    </xf>
    <xf borderId="8" fillId="100" fontId="4" numFmtId="10" xfId="0" applyAlignment="1" applyBorder="1" applyFill="1" applyFont="1" applyNumberFormat="1">
      <alignment horizontal="center" readingOrder="0" vertical="bottom"/>
    </xf>
    <xf borderId="8" fillId="101" fontId="4" numFmtId="10" xfId="0" applyAlignment="1" applyBorder="1" applyFill="1" applyFont="1" applyNumberFormat="1">
      <alignment horizontal="center" readingOrder="0" vertical="bottom"/>
    </xf>
    <xf borderId="8" fillId="102" fontId="4" numFmtId="10" xfId="0" applyAlignment="1" applyBorder="1" applyFill="1" applyFont="1" applyNumberFormat="1">
      <alignment horizontal="center" readingOrder="0" vertical="bottom"/>
    </xf>
    <xf borderId="8" fillId="103" fontId="4" numFmtId="10" xfId="0" applyAlignment="1" applyBorder="1" applyFill="1" applyFont="1" applyNumberFormat="1">
      <alignment horizontal="center" readingOrder="0" vertical="bottom"/>
    </xf>
    <xf borderId="8" fillId="104" fontId="4" numFmtId="10" xfId="0" applyAlignment="1" applyBorder="1" applyFill="1" applyFont="1" applyNumberFormat="1">
      <alignment horizontal="center" readingOrder="0" vertical="bottom"/>
    </xf>
    <xf borderId="8" fillId="105" fontId="4" numFmtId="10" xfId="0" applyAlignment="1" applyBorder="1" applyFill="1" applyFont="1" applyNumberFormat="1">
      <alignment horizontal="center" readingOrder="0" vertical="bottom"/>
    </xf>
    <xf borderId="8" fillId="106" fontId="4" numFmtId="10" xfId="0" applyAlignment="1" applyBorder="1" applyFill="1" applyFont="1" applyNumberFormat="1">
      <alignment horizontal="center" readingOrder="0" vertical="bottom"/>
    </xf>
    <xf borderId="8" fillId="107" fontId="4" numFmtId="10" xfId="0" applyAlignment="1" applyBorder="1" applyFill="1" applyFont="1" applyNumberFormat="1">
      <alignment horizontal="center" readingOrder="0" vertical="bottom"/>
    </xf>
    <xf borderId="8" fillId="108" fontId="4" numFmtId="10" xfId="0" applyAlignment="1" applyBorder="1" applyFill="1" applyFont="1" applyNumberFormat="1">
      <alignment horizontal="center" readingOrder="0" vertical="bottom"/>
    </xf>
    <xf borderId="8" fillId="109" fontId="4" numFmtId="10" xfId="0" applyAlignment="1" applyBorder="1" applyFill="1" applyFont="1" applyNumberFormat="1">
      <alignment horizontal="center" readingOrder="0" vertical="bottom"/>
    </xf>
    <xf borderId="8" fillId="110" fontId="4" numFmtId="10" xfId="0" applyAlignment="1" applyBorder="1" applyFill="1" applyFont="1" applyNumberFormat="1">
      <alignment horizontal="center" readingOrder="0" vertical="bottom"/>
    </xf>
    <xf borderId="8" fillId="111" fontId="4" numFmtId="10" xfId="0" applyAlignment="1" applyBorder="1" applyFill="1" applyFont="1" applyNumberFormat="1">
      <alignment horizontal="center" readingOrder="0" vertical="bottom"/>
    </xf>
    <xf borderId="8" fillId="112" fontId="4" numFmtId="10" xfId="0" applyAlignment="1" applyBorder="1" applyFill="1" applyFont="1" applyNumberFormat="1">
      <alignment horizontal="center" readingOrder="0" vertical="bottom"/>
    </xf>
    <xf borderId="8" fillId="113" fontId="4" numFmtId="10" xfId="0" applyAlignment="1" applyBorder="1" applyFill="1" applyFont="1" applyNumberFormat="1">
      <alignment horizontal="center" readingOrder="0" vertical="bottom"/>
    </xf>
    <xf borderId="8" fillId="114" fontId="4" numFmtId="10" xfId="0" applyAlignment="1" applyBorder="1" applyFill="1" applyFont="1" applyNumberFormat="1">
      <alignment horizontal="center" readingOrder="0" vertical="bottom"/>
    </xf>
    <xf borderId="8" fillId="115" fontId="4" numFmtId="10" xfId="0" applyAlignment="1" applyBorder="1" applyFill="1" applyFont="1" applyNumberFormat="1">
      <alignment horizontal="center" readingOrder="0" vertical="bottom"/>
    </xf>
    <xf borderId="8" fillId="116" fontId="4" numFmtId="10" xfId="0" applyAlignment="1" applyBorder="1" applyFill="1" applyFont="1" applyNumberFormat="1">
      <alignment horizontal="center" readingOrder="0" vertical="bottom"/>
    </xf>
    <xf borderId="8" fillId="117" fontId="4" numFmtId="10" xfId="0" applyAlignment="1" applyBorder="1" applyFill="1" applyFont="1" applyNumberFormat="1">
      <alignment horizontal="center" readingOrder="0" vertical="bottom"/>
    </xf>
    <xf borderId="8" fillId="118" fontId="4" numFmtId="10" xfId="0" applyAlignment="1" applyBorder="1" applyFill="1" applyFont="1" applyNumberFormat="1">
      <alignment horizontal="center" readingOrder="0" vertical="bottom"/>
    </xf>
    <xf borderId="8" fillId="119" fontId="4" numFmtId="10" xfId="0" applyAlignment="1" applyBorder="1" applyFill="1" applyFont="1" applyNumberFormat="1">
      <alignment horizontal="center" readingOrder="0" vertical="bottom"/>
    </xf>
    <xf borderId="8" fillId="120" fontId="4" numFmtId="10" xfId="0" applyAlignment="1" applyBorder="1" applyFill="1" applyFont="1" applyNumberFormat="1">
      <alignment horizontal="center" readingOrder="0" vertical="bottom"/>
    </xf>
    <xf borderId="8" fillId="121" fontId="4" numFmtId="10" xfId="0" applyAlignment="1" applyBorder="1" applyFill="1" applyFont="1" applyNumberFormat="1">
      <alignment horizontal="center" readingOrder="0" vertical="bottom"/>
    </xf>
    <xf borderId="8" fillId="122" fontId="4" numFmtId="10" xfId="0" applyAlignment="1" applyBorder="1" applyFill="1" applyFont="1" applyNumberFormat="1">
      <alignment horizontal="center" readingOrder="0" vertical="bottom"/>
    </xf>
    <xf borderId="8" fillId="123" fontId="4" numFmtId="10" xfId="0" applyAlignment="1" applyBorder="1" applyFill="1" applyFont="1" applyNumberFormat="1">
      <alignment horizontal="center" readingOrder="0" vertical="bottom"/>
    </xf>
    <xf borderId="8" fillId="124" fontId="4" numFmtId="10" xfId="0" applyAlignment="1" applyBorder="1" applyFill="1" applyFont="1" applyNumberFormat="1">
      <alignment horizontal="center" readingOrder="0" vertical="bottom"/>
    </xf>
    <xf borderId="8" fillId="125" fontId="4" numFmtId="10" xfId="0" applyAlignment="1" applyBorder="1" applyFill="1" applyFont="1" applyNumberFormat="1">
      <alignment horizontal="center" readingOrder="0" vertical="bottom"/>
    </xf>
    <xf borderId="8" fillId="126" fontId="4" numFmtId="10" xfId="0" applyAlignment="1" applyBorder="1" applyFill="1" applyFont="1" applyNumberFormat="1">
      <alignment horizontal="center" readingOrder="0" vertical="bottom"/>
    </xf>
    <xf borderId="8" fillId="127" fontId="4" numFmtId="10" xfId="0" applyAlignment="1" applyBorder="1" applyFill="1" applyFont="1" applyNumberFormat="1">
      <alignment horizontal="center" readingOrder="0" vertical="bottom"/>
    </xf>
    <xf borderId="8" fillId="128" fontId="4" numFmtId="10" xfId="0" applyAlignment="1" applyBorder="1" applyFill="1" applyFont="1" applyNumberFormat="1">
      <alignment horizontal="center" readingOrder="0" vertical="bottom"/>
    </xf>
    <xf borderId="8" fillId="129" fontId="4" numFmtId="10" xfId="0" applyAlignment="1" applyBorder="1" applyFill="1" applyFont="1" applyNumberFormat="1">
      <alignment horizontal="center" readingOrder="0" vertical="bottom"/>
    </xf>
    <xf borderId="8" fillId="130" fontId="4" numFmtId="10" xfId="0" applyAlignment="1" applyBorder="1" applyFill="1" applyFont="1" applyNumberFormat="1">
      <alignment horizontal="center" readingOrder="0" vertical="bottom"/>
    </xf>
    <xf borderId="8" fillId="131" fontId="4" numFmtId="10" xfId="0" applyAlignment="1" applyBorder="1" applyFill="1" applyFont="1" applyNumberFormat="1">
      <alignment horizontal="center" readingOrder="0" vertical="bottom"/>
    </xf>
    <xf borderId="8" fillId="132" fontId="4" numFmtId="10" xfId="0" applyAlignment="1" applyBorder="1" applyFill="1" applyFont="1" applyNumberFormat="1">
      <alignment horizontal="center" readingOrder="0" vertical="bottom"/>
    </xf>
    <xf borderId="8" fillId="133" fontId="4" numFmtId="10" xfId="0" applyAlignment="1" applyBorder="1" applyFill="1" applyFont="1" applyNumberFormat="1">
      <alignment horizontal="center" readingOrder="0" vertical="bottom"/>
    </xf>
    <xf borderId="8" fillId="134" fontId="4" numFmtId="10" xfId="0" applyAlignment="1" applyBorder="1" applyFill="1" applyFont="1" applyNumberFormat="1">
      <alignment horizontal="center" readingOrder="0" vertical="bottom"/>
    </xf>
    <xf borderId="8" fillId="135" fontId="4" numFmtId="10" xfId="0" applyAlignment="1" applyBorder="1" applyFill="1" applyFont="1" applyNumberFormat="1">
      <alignment horizontal="center" readingOrder="0" vertical="bottom"/>
    </xf>
    <xf borderId="8" fillId="136" fontId="4" numFmtId="10" xfId="0" applyAlignment="1" applyBorder="1" applyFill="1" applyFont="1" applyNumberFormat="1">
      <alignment horizontal="center" readingOrder="0" vertical="bottom"/>
    </xf>
    <xf borderId="8" fillId="137" fontId="4" numFmtId="10" xfId="0" applyAlignment="1" applyBorder="1" applyFill="1" applyFont="1" applyNumberFormat="1">
      <alignment horizontal="center" readingOrder="0" vertical="bottom"/>
    </xf>
    <xf borderId="8" fillId="138" fontId="4" numFmtId="10" xfId="0" applyAlignment="1" applyBorder="1" applyFill="1" applyFont="1" applyNumberFormat="1">
      <alignment horizontal="center" readingOrder="0" vertical="bottom"/>
    </xf>
    <xf borderId="8" fillId="139" fontId="4" numFmtId="10" xfId="0" applyAlignment="1" applyBorder="1" applyFill="1" applyFont="1" applyNumberFormat="1">
      <alignment horizontal="center" readingOrder="0" vertical="bottom"/>
    </xf>
    <xf borderId="8" fillId="140" fontId="4" numFmtId="10" xfId="0" applyAlignment="1" applyBorder="1" applyFill="1" applyFont="1" applyNumberFormat="1">
      <alignment horizontal="center" readingOrder="0" vertical="bottom"/>
    </xf>
    <xf borderId="8" fillId="141" fontId="4" numFmtId="10" xfId="0" applyAlignment="1" applyBorder="1" applyFill="1" applyFont="1" applyNumberFormat="1">
      <alignment horizontal="center" readingOrder="0" vertical="bottom"/>
    </xf>
    <xf borderId="8" fillId="142" fontId="4" numFmtId="10" xfId="0" applyAlignment="1" applyBorder="1" applyFill="1" applyFont="1" applyNumberFormat="1">
      <alignment horizontal="center" readingOrder="0" vertical="bottom"/>
    </xf>
    <xf borderId="8" fillId="143" fontId="4" numFmtId="10" xfId="0" applyAlignment="1" applyBorder="1" applyFill="1" applyFont="1" applyNumberFormat="1">
      <alignment horizontal="center" readingOrder="0" vertical="bottom"/>
    </xf>
    <xf borderId="8" fillId="144" fontId="4" numFmtId="10" xfId="0" applyAlignment="1" applyBorder="1" applyFill="1" applyFont="1" applyNumberFormat="1">
      <alignment horizontal="center" readingOrder="0" vertical="bottom"/>
    </xf>
    <xf borderId="8" fillId="145" fontId="4" numFmtId="10" xfId="0" applyAlignment="1" applyBorder="1" applyFill="1" applyFont="1" applyNumberFormat="1">
      <alignment horizontal="center" readingOrder="0" vertical="bottom"/>
    </xf>
    <xf borderId="8" fillId="146" fontId="4" numFmtId="10" xfId="0" applyAlignment="1" applyBorder="1" applyFill="1" applyFont="1" applyNumberFormat="1">
      <alignment horizontal="center" readingOrder="0" vertical="bottom"/>
    </xf>
    <xf borderId="8" fillId="147" fontId="4" numFmtId="10" xfId="0" applyAlignment="1" applyBorder="1" applyFill="1" applyFont="1" applyNumberFormat="1">
      <alignment horizontal="center" readingOrder="0" vertical="bottom"/>
    </xf>
    <xf borderId="8" fillId="148" fontId="4" numFmtId="10" xfId="0" applyAlignment="1" applyBorder="1" applyFill="1" applyFont="1" applyNumberFormat="1">
      <alignment horizontal="center" readingOrder="0" vertical="bottom"/>
    </xf>
    <xf borderId="8" fillId="149" fontId="4" numFmtId="10" xfId="0" applyAlignment="1" applyBorder="1" applyFill="1" applyFont="1" applyNumberFormat="1">
      <alignment horizontal="center" readingOrder="0" vertical="bottom"/>
    </xf>
    <xf borderId="8" fillId="150" fontId="4" numFmtId="10" xfId="0" applyAlignment="1" applyBorder="1" applyFill="1" applyFont="1" applyNumberFormat="1">
      <alignment horizontal="center" readingOrder="0" vertical="bottom"/>
    </xf>
    <xf borderId="8" fillId="151" fontId="4" numFmtId="10" xfId="0" applyAlignment="1" applyBorder="1" applyFill="1" applyFont="1" applyNumberFormat="1">
      <alignment horizontal="center" readingOrder="0" vertical="bottom"/>
    </xf>
    <xf borderId="8" fillId="152" fontId="4" numFmtId="10" xfId="0" applyAlignment="1" applyBorder="1" applyFill="1" applyFont="1" applyNumberFormat="1">
      <alignment horizontal="center" readingOrder="0" vertical="bottom"/>
    </xf>
    <xf borderId="8" fillId="153" fontId="4" numFmtId="10" xfId="0" applyAlignment="1" applyBorder="1" applyFill="1" applyFont="1" applyNumberFormat="1">
      <alignment horizontal="center" readingOrder="0" vertical="bottom"/>
    </xf>
    <xf borderId="8" fillId="154" fontId="4" numFmtId="10" xfId="0" applyAlignment="1" applyBorder="1" applyFill="1" applyFont="1" applyNumberFormat="1">
      <alignment horizontal="center" readingOrder="0" vertical="bottom"/>
    </xf>
    <xf borderId="8" fillId="155" fontId="4" numFmtId="10" xfId="0" applyAlignment="1" applyBorder="1" applyFill="1" applyFont="1" applyNumberFormat="1">
      <alignment horizontal="center" readingOrder="0" vertical="bottom"/>
    </xf>
    <xf borderId="8" fillId="156" fontId="4" numFmtId="10" xfId="0" applyAlignment="1" applyBorder="1" applyFill="1" applyFont="1" applyNumberFormat="1">
      <alignment horizontal="center" readingOrder="0" vertical="bottom"/>
    </xf>
    <xf borderId="8" fillId="157" fontId="4" numFmtId="10" xfId="0" applyAlignment="1" applyBorder="1" applyFill="1" applyFont="1" applyNumberFormat="1">
      <alignment horizontal="center" readingOrder="0" vertical="bottom"/>
    </xf>
    <xf borderId="8" fillId="158" fontId="4" numFmtId="10" xfId="0" applyAlignment="1" applyBorder="1" applyFill="1" applyFont="1" applyNumberFormat="1">
      <alignment horizontal="center" readingOrder="0" vertical="bottom"/>
    </xf>
    <xf borderId="8" fillId="159" fontId="4" numFmtId="10" xfId="0" applyAlignment="1" applyBorder="1" applyFill="1" applyFont="1" applyNumberFormat="1">
      <alignment horizontal="center" readingOrder="0" vertical="bottom"/>
    </xf>
    <xf borderId="8" fillId="160" fontId="4" numFmtId="10" xfId="0" applyAlignment="1" applyBorder="1" applyFill="1" applyFont="1" applyNumberFormat="1">
      <alignment horizontal="center" readingOrder="0" vertical="bottom"/>
    </xf>
    <xf borderId="10" fillId="0" fontId="4" numFmtId="0" xfId="0" applyAlignment="1" applyBorder="1" applyFont="1">
      <alignment horizontal="center" readingOrder="0" vertical="bottom"/>
    </xf>
    <xf borderId="8" fillId="161" fontId="4" numFmtId="10" xfId="0" applyAlignment="1" applyBorder="1" applyFill="1" applyFont="1" applyNumberFormat="1">
      <alignment horizontal="center" readingOrder="0" vertical="bottom"/>
    </xf>
    <xf borderId="8" fillId="162" fontId="4" numFmtId="10" xfId="0" applyAlignment="1" applyBorder="1" applyFill="1" applyFont="1" applyNumberFormat="1">
      <alignment horizontal="center" readingOrder="0" vertical="bottom"/>
    </xf>
    <xf borderId="8" fillId="163" fontId="4" numFmtId="10" xfId="0" applyAlignment="1" applyBorder="1" applyFill="1" applyFont="1" applyNumberFormat="1">
      <alignment horizontal="center" readingOrder="0" vertical="bottom"/>
    </xf>
    <xf borderId="8" fillId="164" fontId="4" numFmtId="10" xfId="0" applyAlignment="1" applyBorder="1" applyFill="1" applyFont="1" applyNumberFormat="1">
      <alignment horizontal="center" readingOrder="0" vertical="bottom"/>
    </xf>
    <xf borderId="8" fillId="165" fontId="4" numFmtId="10" xfId="0" applyAlignment="1" applyBorder="1" applyFill="1" applyFont="1" applyNumberFormat="1">
      <alignment horizontal="center" readingOrder="0" vertical="bottom"/>
    </xf>
    <xf borderId="8" fillId="166" fontId="4" numFmtId="10" xfId="0" applyAlignment="1" applyBorder="1" applyFill="1" applyFont="1" applyNumberFormat="1">
      <alignment horizontal="center" readingOrder="0" vertical="bottom"/>
    </xf>
    <xf borderId="8" fillId="167" fontId="4" numFmtId="10" xfId="0" applyAlignment="1" applyBorder="1" applyFill="1" applyFont="1" applyNumberFormat="1">
      <alignment horizontal="center" readingOrder="0" vertical="bottom"/>
    </xf>
    <xf borderId="11" fillId="0" fontId="4" numFmtId="0" xfId="0" applyAlignment="1" applyBorder="1" applyFont="1">
      <alignment horizontal="center" readingOrder="0" vertical="bottom"/>
    </xf>
    <xf borderId="8" fillId="168" fontId="4" numFmtId="10" xfId="0" applyAlignment="1" applyBorder="1" applyFill="1" applyFont="1" applyNumberFormat="1">
      <alignment horizontal="center" readingOrder="0" vertical="bottom"/>
    </xf>
    <xf borderId="12" fillId="0" fontId="1" numFmtId="0" xfId="0" applyAlignment="1" applyBorder="1" applyFont="1">
      <alignment vertical="bottom"/>
    </xf>
    <xf borderId="13" fillId="0" fontId="4" numFmtId="0" xfId="0" applyAlignment="1" applyBorder="1" applyFont="1">
      <alignment horizontal="center" readingOrder="0" vertical="bottom"/>
    </xf>
    <xf borderId="8" fillId="169" fontId="4" numFmtId="10" xfId="0" applyAlignment="1" applyBorder="1" applyFill="1" applyFont="1" applyNumberFormat="1">
      <alignment horizontal="center" readingOrder="0" vertical="bottom"/>
    </xf>
    <xf borderId="8" fillId="170" fontId="4" numFmtId="10" xfId="0" applyAlignment="1" applyBorder="1" applyFill="1" applyFont="1" applyNumberFormat="1">
      <alignment horizontal="center" readingOrder="0" vertical="bottom"/>
    </xf>
    <xf borderId="8" fillId="171" fontId="4" numFmtId="10" xfId="0" applyAlignment="1" applyBorder="1" applyFill="1" applyFont="1" applyNumberFormat="1">
      <alignment horizontal="center" readingOrder="0" vertical="bottom"/>
    </xf>
    <xf borderId="14" fillId="0" fontId="4" numFmtId="0" xfId="0" applyAlignment="1" applyBorder="1" applyFont="1">
      <alignment horizontal="center" readingOrder="0" vertical="bottom"/>
    </xf>
    <xf borderId="8" fillId="172" fontId="4" numFmtId="10" xfId="0" applyAlignment="1" applyBorder="1" applyFill="1" applyFont="1" applyNumberFormat="1">
      <alignment horizontal="center" readingOrder="0" vertical="bottom"/>
    </xf>
    <xf borderId="8" fillId="173" fontId="4" numFmtId="10" xfId="0" applyAlignment="1" applyBorder="1" applyFill="1" applyFont="1" applyNumberFormat="1">
      <alignment horizontal="center" readingOrder="0" vertical="bottom"/>
    </xf>
    <xf borderId="8" fillId="174" fontId="4" numFmtId="10" xfId="0" applyAlignment="1" applyBorder="1" applyFill="1" applyFont="1" applyNumberFormat="1">
      <alignment horizontal="center" readingOrder="0" vertical="bottom"/>
    </xf>
    <xf borderId="8" fillId="175" fontId="4" numFmtId="10" xfId="0" applyAlignment="1" applyBorder="1" applyFill="1" applyFont="1" applyNumberFormat="1">
      <alignment horizontal="center" readingOrder="0" vertical="bottom"/>
    </xf>
    <xf borderId="8" fillId="176" fontId="4" numFmtId="10" xfId="0" applyAlignment="1" applyBorder="1" applyFill="1" applyFont="1" applyNumberFormat="1">
      <alignment horizontal="center" readingOrder="0" vertical="bottom"/>
    </xf>
    <xf borderId="8" fillId="177" fontId="4" numFmtId="10" xfId="0" applyAlignment="1" applyBorder="1" applyFill="1" applyFont="1" applyNumberFormat="1">
      <alignment horizontal="center" readingOrder="0" vertical="bottom"/>
    </xf>
    <xf borderId="8" fillId="178" fontId="4" numFmtId="10" xfId="0" applyAlignment="1" applyBorder="1" applyFill="1" applyFont="1" applyNumberFormat="1">
      <alignment horizontal="center" readingOrder="0" vertical="bottom"/>
    </xf>
    <xf borderId="8" fillId="179" fontId="4" numFmtId="10" xfId="0" applyAlignment="1" applyBorder="1" applyFill="1" applyFont="1" applyNumberFormat="1">
      <alignment horizontal="center" readingOrder="0" vertical="bottom"/>
    </xf>
    <xf borderId="8" fillId="180" fontId="4" numFmtId="10" xfId="0" applyAlignment="1" applyBorder="1" applyFill="1" applyFont="1" applyNumberFormat="1">
      <alignment horizontal="center" readingOrder="0" vertical="bottom"/>
    </xf>
    <xf borderId="8" fillId="181" fontId="4" numFmtId="10" xfId="0" applyAlignment="1" applyBorder="1" applyFill="1" applyFont="1" applyNumberFormat="1">
      <alignment horizontal="center" readingOrder="0" vertical="bottom"/>
    </xf>
    <xf borderId="8" fillId="182" fontId="4" numFmtId="10" xfId="0" applyAlignment="1" applyBorder="1" applyFill="1" applyFont="1" applyNumberFormat="1">
      <alignment horizontal="center" readingOrder="0" vertical="bottom"/>
    </xf>
    <xf borderId="8" fillId="183" fontId="4" numFmtId="10" xfId="0" applyAlignment="1" applyBorder="1" applyFill="1" applyFont="1" applyNumberFormat="1">
      <alignment horizontal="center" readingOrder="0" vertical="bottom"/>
    </xf>
    <xf borderId="8" fillId="184" fontId="4" numFmtId="10" xfId="0" applyAlignment="1" applyBorder="1" applyFill="1" applyFont="1" applyNumberFormat="1">
      <alignment horizontal="center" readingOrder="0" vertical="bottom"/>
    </xf>
    <xf borderId="8" fillId="185" fontId="4" numFmtId="10" xfId="0" applyAlignment="1" applyBorder="1" applyFill="1" applyFont="1" applyNumberFormat="1">
      <alignment horizontal="center" readingOrder="0" vertical="bottom"/>
    </xf>
    <xf borderId="8" fillId="186" fontId="4" numFmtId="10" xfId="0" applyAlignment="1" applyBorder="1" applyFill="1" applyFont="1" applyNumberFormat="1">
      <alignment horizontal="center" readingOrder="0" vertical="bottom"/>
    </xf>
    <xf borderId="8" fillId="187" fontId="4" numFmtId="10" xfId="0" applyAlignment="1" applyBorder="1" applyFill="1" applyFont="1" applyNumberFormat="1">
      <alignment horizontal="center" readingOrder="0" vertical="bottom"/>
    </xf>
    <xf borderId="8" fillId="188" fontId="4" numFmtId="10" xfId="0" applyAlignment="1" applyBorder="1" applyFill="1" applyFont="1" applyNumberFormat="1">
      <alignment horizontal="center" readingOrder="0" vertical="bottom"/>
    </xf>
    <xf borderId="8" fillId="189" fontId="4" numFmtId="10" xfId="0" applyAlignment="1" applyBorder="1" applyFill="1" applyFont="1" applyNumberFormat="1">
      <alignment horizontal="center" readingOrder="0" vertical="bottom"/>
    </xf>
    <xf borderId="8" fillId="190" fontId="4" numFmtId="10" xfId="0" applyAlignment="1" applyBorder="1" applyFill="1" applyFont="1" applyNumberFormat="1">
      <alignment horizontal="center" readingOrder="0" vertical="bottom"/>
    </xf>
    <xf borderId="8" fillId="191" fontId="4" numFmtId="10" xfId="0" applyAlignment="1" applyBorder="1" applyFill="1" applyFont="1" applyNumberFormat="1">
      <alignment horizontal="center" readingOrder="0" vertical="bottom"/>
    </xf>
    <xf borderId="8" fillId="192" fontId="4" numFmtId="10" xfId="0" applyAlignment="1" applyBorder="1" applyFill="1" applyFont="1" applyNumberFormat="1">
      <alignment horizontal="center" readingOrder="0" vertical="bottom"/>
    </xf>
    <xf borderId="8" fillId="193" fontId="4" numFmtId="10" xfId="0" applyAlignment="1" applyBorder="1" applyFill="1" applyFont="1" applyNumberFormat="1">
      <alignment horizontal="center" readingOrder="0" vertical="bottom"/>
    </xf>
    <xf borderId="8" fillId="194" fontId="4" numFmtId="10" xfId="0" applyAlignment="1" applyBorder="1" applyFill="1" applyFont="1" applyNumberFormat="1">
      <alignment horizontal="center" readingOrder="0" vertical="bottom"/>
    </xf>
    <xf borderId="8" fillId="195" fontId="4" numFmtId="10" xfId="0" applyAlignment="1" applyBorder="1" applyFill="1" applyFont="1" applyNumberFormat="1">
      <alignment horizontal="center" readingOrder="0" vertical="bottom"/>
    </xf>
    <xf borderId="8" fillId="196" fontId="4" numFmtId="10" xfId="0" applyAlignment="1" applyBorder="1" applyFill="1" applyFont="1" applyNumberFormat="1">
      <alignment horizontal="center" readingOrder="0" vertical="bottom"/>
    </xf>
    <xf borderId="8" fillId="197" fontId="4" numFmtId="10" xfId="0" applyAlignment="1" applyBorder="1" applyFill="1" applyFont="1" applyNumberFormat="1">
      <alignment horizontal="center" readingOrder="0" vertical="bottom"/>
    </xf>
    <xf borderId="8" fillId="198" fontId="4" numFmtId="10" xfId="0" applyAlignment="1" applyBorder="1" applyFill="1" applyFont="1" applyNumberFormat="1">
      <alignment horizontal="center" readingOrder="0" vertical="bottom"/>
    </xf>
    <xf borderId="8" fillId="199" fontId="4" numFmtId="10" xfId="0" applyAlignment="1" applyBorder="1" applyFill="1" applyFont="1" applyNumberFormat="1">
      <alignment horizontal="center" readingOrder="0" vertical="bottom"/>
    </xf>
    <xf borderId="8" fillId="200" fontId="4" numFmtId="10" xfId="0" applyAlignment="1" applyBorder="1" applyFill="1" applyFont="1" applyNumberFormat="1">
      <alignment horizontal="center" readingOrder="0" vertical="bottom"/>
    </xf>
    <xf borderId="8" fillId="201" fontId="4" numFmtId="10" xfId="0" applyAlignment="1" applyBorder="1" applyFill="1" applyFont="1" applyNumberFormat="1">
      <alignment horizontal="center" readingOrder="0" vertical="bottom"/>
    </xf>
    <xf borderId="8" fillId="202" fontId="4" numFmtId="10" xfId="0" applyAlignment="1" applyBorder="1" applyFill="1" applyFont="1" applyNumberFormat="1">
      <alignment horizontal="center" readingOrder="0" vertical="bottom"/>
    </xf>
    <xf borderId="8" fillId="203" fontId="4" numFmtId="10" xfId="0" applyAlignment="1" applyBorder="1" applyFill="1" applyFont="1" applyNumberFormat="1">
      <alignment horizontal="center" readingOrder="0" vertical="bottom"/>
    </xf>
    <xf borderId="8" fillId="204" fontId="4" numFmtId="10" xfId="0" applyAlignment="1" applyBorder="1" applyFill="1" applyFont="1" applyNumberFormat="1">
      <alignment horizontal="center" readingOrder="0" vertical="bottom"/>
    </xf>
    <xf borderId="15" fillId="0" fontId="4" numFmtId="0" xfId="0" applyAlignment="1" applyBorder="1" applyFont="1">
      <alignment horizontal="center" readingOrder="0" vertical="bottom"/>
    </xf>
    <xf borderId="8" fillId="205" fontId="4" numFmtId="10" xfId="0" applyAlignment="1" applyBorder="1" applyFill="1" applyFont="1" applyNumberFormat="1">
      <alignment horizontal="center" readingOrder="0" vertical="bottom"/>
    </xf>
    <xf borderId="8" fillId="206" fontId="4" numFmtId="10" xfId="0" applyAlignment="1" applyBorder="1" applyFill="1" applyFont="1" applyNumberFormat="1">
      <alignment horizontal="center" readingOrder="0" vertical="bottom"/>
    </xf>
    <xf borderId="8" fillId="207" fontId="4" numFmtId="10" xfId="0" applyAlignment="1" applyBorder="1" applyFill="1" applyFont="1" applyNumberFormat="1">
      <alignment horizontal="center" readingOrder="0" vertical="bottom"/>
    </xf>
    <xf borderId="8" fillId="208" fontId="4" numFmtId="10" xfId="0" applyAlignment="1" applyBorder="1" applyFill="1" applyFont="1" applyNumberFormat="1">
      <alignment horizontal="center" readingOrder="0" vertical="bottom"/>
    </xf>
    <xf borderId="16" fillId="0" fontId="1" numFmtId="0" xfId="0" applyAlignment="1" applyBorder="1" applyFont="1">
      <alignment vertical="bottom"/>
    </xf>
    <xf borderId="17" fillId="0" fontId="4" numFmtId="0" xfId="0" applyAlignment="1" applyBorder="1" applyFont="1">
      <alignment horizontal="center" readingOrder="0" vertical="bottom"/>
    </xf>
    <xf borderId="8" fillId="209" fontId="4" numFmtId="10" xfId="0" applyAlignment="1" applyBorder="1" applyFill="1" applyFont="1" applyNumberFormat="1">
      <alignment horizontal="center" readingOrder="0" vertical="bottom"/>
    </xf>
    <xf borderId="8" fillId="210" fontId="4" numFmtId="10" xfId="0" applyAlignment="1" applyBorder="1" applyFill="1" applyFont="1" applyNumberFormat="1">
      <alignment horizontal="center" readingOrder="0" vertical="bottom"/>
    </xf>
    <xf borderId="18" fillId="0" fontId="4" numFmtId="0" xfId="0" applyAlignment="1" applyBorder="1" applyFont="1">
      <alignment horizontal="center" readingOrder="0" vertical="bottom"/>
    </xf>
    <xf borderId="8" fillId="211" fontId="4" numFmtId="10" xfId="0" applyAlignment="1" applyBorder="1" applyFill="1" applyFont="1" applyNumberFormat="1">
      <alignment horizontal="center" readingOrder="0" vertical="bottom"/>
    </xf>
    <xf borderId="8" fillId="212" fontId="4" numFmtId="10" xfId="0" applyAlignment="1" applyBorder="1" applyFill="1" applyFont="1" applyNumberFormat="1">
      <alignment horizontal="center" readingOrder="0" vertical="bottom"/>
    </xf>
    <xf borderId="8" fillId="213" fontId="4" numFmtId="10" xfId="0" applyAlignment="1" applyBorder="1" applyFill="1" applyFont="1" applyNumberFormat="1">
      <alignment horizontal="center" readingOrder="0" vertical="bottom"/>
    </xf>
    <xf borderId="8" fillId="214" fontId="4" numFmtId="10" xfId="0" applyAlignment="1" applyBorder="1" applyFill="1" applyFont="1" applyNumberFormat="1">
      <alignment horizontal="center" readingOrder="0" vertical="bottom"/>
    </xf>
    <xf borderId="8" fillId="215" fontId="4" numFmtId="10" xfId="0" applyAlignment="1" applyBorder="1" applyFill="1" applyFont="1" applyNumberFormat="1">
      <alignment horizontal="center" readingOrder="0" vertical="bottom"/>
    </xf>
    <xf borderId="8" fillId="216" fontId="4" numFmtId="10" xfId="0" applyAlignment="1" applyBorder="1" applyFill="1" applyFont="1" applyNumberFormat="1">
      <alignment horizontal="center" readingOrder="0" vertical="bottom"/>
    </xf>
    <xf borderId="8" fillId="217" fontId="4" numFmtId="10" xfId="0" applyAlignment="1" applyBorder="1" applyFill="1" applyFont="1" applyNumberFormat="1">
      <alignment horizontal="center" readingOrder="0" vertical="bottom"/>
    </xf>
    <xf borderId="8" fillId="218" fontId="4" numFmtId="10" xfId="0" applyAlignment="1" applyBorder="1" applyFill="1" applyFont="1" applyNumberFormat="1">
      <alignment horizontal="center" readingOrder="0" vertical="bottom"/>
    </xf>
    <xf borderId="8" fillId="219" fontId="4" numFmtId="10" xfId="0" applyAlignment="1" applyBorder="1" applyFill="1" applyFont="1" applyNumberFormat="1">
      <alignment horizontal="center" readingOrder="0" vertical="bottom"/>
    </xf>
    <xf borderId="8" fillId="220" fontId="4" numFmtId="10" xfId="0" applyAlignment="1" applyBorder="1" applyFill="1" applyFont="1" applyNumberFormat="1">
      <alignment horizontal="center" readingOrder="0" vertical="bottom"/>
    </xf>
    <xf borderId="8" fillId="221" fontId="4" numFmtId="10" xfId="0" applyAlignment="1" applyBorder="1" applyFill="1" applyFont="1" applyNumberFormat="1">
      <alignment horizontal="center" readingOrder="0" vertical="bottom"/>
    </xf>
    <xf borderId="8" fillId="222" fontId="4" numFmtId="10" xfId="0" applyAlignment="1" applyBorder="1" applyFill="1" applyFont="1" applyNumberFormat="1">
      <alignment horizontal="center" readingOrder="0" vertical="bottom"/>
    </xf>
    <xf borderId="8" fillId="223" fontId="4" numFmtId="10" xfId="0" applyAlignment="1" applyBorder="1" applyFill="1" applyFont="1" applyNumberFormat="1">
      <alignment horizontal="center" readingOrder="0" vertical="bottom"/>
    </xf>
    <xf borderId="8" fillId="224" fontId="4" numFmtId="10" xfId="0" applyAlignment="1" applyBorder="1" applyFill="1" applyFont="1" applyNumberFormat="1">
      <alignment horizontal="center" readingOrder="0" vertical="bottom"/>
    </xf>
    <xf borderId="8" fillId="225" fontId="4" numFmtId="10" xfId="0" applyAlignment="1" applyBorder="1" applyFill="1" applyFont="1" applyNumberFormat="1">
      <alignment horizontal="center" readingOrder="0" vertical="bottom"/>
    </xf>
    <xf borderId="8" fillId="226" fontId="4" numFmtId="10" xfId="0" applyAlignment="1" applyBorder="1" applyFill="1" applyFont="1" applyNumberFormat="1">
      <alignment horizontal="center" readingOrder="0" vertical="bottom"/>
    </xf>
    <xf borderId="8" fillId="227" fontId="4" numFmtId="10" xfId="0" applyAlignment="1" applyBorder="1" applyFill="1" applyFont="1" applyNumberFormat="1">
      <alignment horizontal="center" readingOrder="0" vertical="bottom"/>
    </xf>
    <xf borderId="8" fillId="228" fontId="4" numFmtId="10" xfId="0" applyAlignment="1" applyBorder="1" applyFill="1" applyFont="1" applyNumberFormat="1">
      <alignment horizontal="center" readingOrder="0" vertical="bottom"/>
    </xf>
    <xf borderId="8" fillId="229" fontId="4" numFmtId="10" xfId="0" applyAlignment="1" applyBorder="1" applyFill="1" applyFont="1" applyNumberFormat="1">
      <alignment horizontal="center" readingOrder="0" vertical="bottom"/>
    </xf>
    <xf borderId="8" fillId="230" fontId="4" numFmtId="10" xfId="0" applyAlignment="1" applyBorder="1" applyFill="1" applyFont="1" applyNumberFormat="1">
      <alignment horizontal="center" readingOrder="0" vertical="bottom"/>
    </xf>
    <xf borderId="8" fillId="231" fontId="4" numFmtId="10" xfId="0" applyAlignment="1" applyBorder="1" applyFill="1" applyFont="1" applyNumberFormat="1">
      <alignment horizontal="center" readingOrder="0" vertical="bottom"/>
    </xf>
    <xf borderId="8" fillId="232" fontId="4" numFmtId="10" xfId="0" applyAlignment="1" applyBorder="1" applyFill="1" applyFont="1" applyNumberFormat="1">
      <alignment horizontal="center" readingOrder="0" vertical="bottom"/>
    </xf>
    <xf borderId="8" fillId="233" fontId="4" numFmtId="10" xfId="0" applyAlignment="1" applyBorder="1" applyFill="1" applyFont="1" applyNumberFormat="1">
      <alignment horizontal="center" readingOrder="0" vertical="bottom"/>
    </xf>
    <xf borderId="8" fillId="234" fontId="4" numFmtId="10" xfId="0" applyAlignment="1" applyBorder="1" applyFill="1" applyFont="1" applyNumberFormat="1">
      <alignment horizontal="center" readingOrder="0" vertical="bottom"/>
    </xf>
    <xf borderId="8" fillId="235" fontId="4" numFmtId="10" xfId="0" applyAlignment="1" applyBorder="1" applyFill="1" applyFont="1" applyNumberFormat="1">
      <alignment horizontal="center" readingOrder="0" vertical="bottom"/>
    </xf>
    <xf borderId="8" fillId="236" fontId="4" numFmtId="10" xfId="0" applyAlignment="1" applyBorder="1" applyFill="1" applyFont="1" applyNumberFormat="1">
      <alignment horizontal="center" readingOrder="0" vertical="bottom"/>
    </xf>
    <xf borderId="8" fillId="237" fontId="4" numFmtId="10" xfId="0" applyAlignment="1" applyBorder="1" applyFill="1" applyFont="1" applyNumberFormat="1">
      <alignment horizontal="center" readingOrder="0" vertical="bottom"/>
    </xf>
    <xf borderId="8" fillId="238" fontId="4" numFmtId="10" xfId="0" applyAlignment="1" applyBorder="1" applyFill="1" applyFont="1" applyNumberFormat="1">
      <alignment horizontal="center" readingOrder="0" vertical="bottom"/>
    </xf>
    <xf borderId="8" fillId="239" fontId="4" numFmtId="10" xfId="0" applyAlignment="1" applyBorder="1" applyFill="1" applyFont="1" applyNumberFormat="1">
      <alignment horizontal="center" readingOrder="0" vertical="bottom"/>
    </xf>
    <xf borderId="8" fillId="240" fontId="4" numFmtId="10" xfId="0" applyAlignment="1" applyBorder="1" applyFill="1" applyFont="1" applyNumberFormat="1">
      <alignment horizontal="center" readingOrder="0" vertical="bottom"/>
    </xf>
    <xf borderId="8" fillId="241" fontId="4" numFmtId="10" xfId="0" applyAlignment="1" applyBorder="1" applyFill="1" applyFont="1" applyNumberFormat="1">
      <alignment horizontal="center" readingOrder="0" vertical="bottom"/>
    </xf>
    <xf borderId="8" fillId="242" fontId="4" numFmtId="10" xfId="0" applyAlignment="1" applyBorder="1" applyFill="1" applyFont="1" applyNumberFormat="1">
      <alignment horizontal="center" readingOrder="0" vertical="bottom"/>
    </xf>
    <xf borderId="8" fillId="243" fontId="4" numFmtId="10" xfId="0" applyAlignment="1" applyBorder="1" applyFill="1" applyFont="1" applyNumberFormat="1">
      <alignment horizontal="center" readingOrder="0" vertical="bottom"/>
    </xf>
    <xf borderId="8" fillId="244" fontId="4" numFmtId="10" xfId="0" applyAlignment="1" applyBorder="1" applyFill="1" applyFont="1" applyNumberFormat="1">
      <alignment horizontal="center" readingOrder="0" vertical="bottom"/>
    </xf>
    <xf borderId="8" fillId="245" fontId="4" numFmtId="10" xfId="0" applyAlignment="1" applyBorder="1" applyFill="1" applyFont="1" applyNumberFormat="1">
      <alignment horizontal="center" readingOrder="0" vertical="bottom"/>
    </xf>
    <xf borderId="8" fillId="246" fontId="4" numFmtId="10" xfId="0" applyAlignment="1" applyBorder="1" applyFill="1" applyFont="1" applyNumberFormat="1">
      <alignment horizontal="center" readingOrder="0" vertical="bottom"/>
    </xf>
    <xf borderId="8" fillId="247" fontId="4" numFmtId="10" xfId="0" applyAlignment="1" applyBorder="1" applyFill="1" applyFont="1" applyNumberFormat="1">
      <alignment horizontal="center" readingOrder="0" vertical="bottom"/>
    </xf>
    <xf borderId="8" fillId="248" fontId="4" numFmtId="10" xfId="0" applyAlignment="1" applyBorder="1" applyFill="1" applyFont="1" applyNumberFormat="1">
      <alignment horizontal="center" readingOrder="0" vertical="bottom"/>
    </xf>
    <xf borderId="8" fillId="249" fontId="4" numFmtId="10" xfId="0" applyAlignment="1" applyBorder="1" applyFill="1" applyFont="1" applyNumberFormat="1">
      <alignment horizontal="center" readingOrder="0" vertical="bottom"/>
    </xf>
    <xf borderId="8" fillId="250" fontId="4" numFmtId="10" xfId="0" applyAlignment="1" applyBorder="1" applyFill="1" applyFont="1" applyNumberFormat="1">
      <alignment horizontal="center" readingOrder="0" vertical="bottom"/>
    </xf>
    <xf borderId="8" fillId="251" fontId="4" numFmtId="10" xfId="0" applyAlignment="1" applyBorder="1" applyFill="1" applyFont="1" applyNumberFormat="1">
      <alignment horizontal="center" readingOrder="0" vertical="bottom"/>
    </xf>
    <xf borderId="8" fillId="252" fontId="4" numFmtId="10" xfId="0" applyAlignment="1" applyBorder="1" applyFill="1" applyFont="1" applyNumberFormat="1">
      <alignment horizontal="center" readingOrder="0" vertical="bottom"/>
    </xf>
    <xf borderId="8" fillId="253" fontId="4" numFmtId="10" xfId="0" applyAlignment="1" applyBorder="1" applyFill="1" applyFont="1" applyNumberFormat="1">
      <alignment horizontal="center" readingOrder="0" vertical="bottom"/>
    </xf>
    <xf borderId="8" fillId="254" fontId="4" numFmtId="10" xfId="0" applyAlignment="1" applyBorder="1" applyFill="1" applyFont="1" applyNumberFormat="1">
      <alignment horizontal="center" readingOrder="0" vertical="bottom"/>
    </xf>
    <xf borderId="8" fillId="255" fontId="4" numFmtId="10" xfId="0" applyAlignment="1" applyBorder="1" applyFill="1" applyFont="1" applyNumberFormat="1">
      <alignment horizontal="center" readingOrder="0" vertical="bottom"/>
    </xf>
    <xf borderId="8" fillId="256" fontId="4" numFmtId="10" xfId="0" applyAlignment="1" applyBorder="1" applyFill="1" applyFont="1" applyNumberFormat="1">
      <alignment horizontal="center" readingOrder="0" vertical="bottom"/>
    </xf>
    <xf borderId="8" fillId="257" fontId="4" numFmtId="10" xfId="0" applyAlignment="1" applyBorder="1" applyFill="1" applyFont="1" applyNumberFormat="1">
      <alignment horizontal="center" readingOrder="0" vertical="bottom"/>
    </xf>
    <xf borderId="8" fillId="258" fontId="4" numFmtId="10" xfId="0" applyAlignment="1" applyBorder="1" applyFill="1" applyFont="1" applyNumberFormat="1">
      <alignment horizontal="center" readingOrder="0" vertical="bottom"/>
    </xf>
    <xf borderId="8" fillId="259" fontId="4" numFmtId="10" xfId="0" applyAlignment="1" applyBorder="1" applyFill="1" applyFont="1" applyNumberFormat="1">
      <alignment horizontal="center" readingOrder="0" vertical="bottom"/>
    </xf>
    <xf borderId="8" fillId="260" fontId="4" numFmtId="10" xfId="0" applyAlignment="1" applyBorder="1" applyFill="1" applyFont="1" applyNumberFormat="1">
      <alignment horizontal="center" readingOrder="0" vertical="bottom"/>
    </xf>
    <xf borderId="8" fillId="261" fontId="4" numFmtId="10" xfId="0" applyAlignment="1" applyBorder="1" applyFill="1" applyFont="1" applyNumberFormat="1">
      <alignment horizontal="center" readingOrder="0" vertical="bottom"/>
    </xf>
    <xf borderId="8" fillId="262" fontId="4" numFmtId="10" xfId="0" applyAlignment="1" applyBorder="1" applyFill="1" applyFont="1" applyNumberFormat="1">
      <alignment horizontal="center" readingOrder="0" vertical="bottom"/>
    </xf>
    <xf borderId="8" fillId="263" fontId="4" numFmtId="10" xfId="0" applyAlignment="1" applyBorder="1" applyFill="1" applyFont="1" applyNumberFormat="1">
      <alignment horizontal="center" readingOrder="0" vertical="bottom"/>
    </xf>
    <xf borderId="8" fillId="264" fontId="4" numFmtId="10" xfId="0" applyAlignment="1" applyBorder="1" applyFill="1" applyFont="1" applyNumberFormat="1">
      <alignment horizontal="center" readingOrder="0" vertical="bottom"/>
    </xf>
    <xf borderId="8" fillId="265" fontId="4" numFmtId="10" xfId="0" applyAlignment="1" applyBorder="1" applyFill="1" applyFont="1" applyNumberFormat="1">
      <alignment horizontal="center" readingOrder="0" vertical="bottom"/>
    </xf>
    <xf borderId="8" fillId="266" fontId="4" numFmtId="10" xfId="0" applyAlignment="1" applyBorder="1" applyFill="1" applyFont="1" applyNumberFormat="1">
      <alignment horizontal="center" readingOrder="0" vertical="bottom"/>
    </xf>
    <xf borderId="8" fillId="267" fontId="4" numFmtId="10" xfId="0" applyAlignment="1" applyBorder="1" applyFill="1" applyFont="1" applyNumberFormat="1">
      <alignment horizontal="center" readingOrder="0" vertical="bottom"/>
    </xf>
    <xf borderId="8" fillId="268" fontId="4" numFmtId="10" xfId="0" applyAlignment="1" applyBorder="1" applyFill="1" applyFont="1" applyNumberFormat="1">
      <alignment horizontal="center" readingOrder="0" vertical="bottom"/>
    </xf>
    <xf borderId="8" fillId="269" fontId="4" numFmtId="10" xfId="0" applyAlignment="1" applyBorder="1" applyFill="1" applyFont="1" applyNumberFormat="1">
      <alignment horizontal="center" readingOrder="0" vertical="bottom"/>
    </xf>
    <xf borderId="8" fillId="270" fontId="4" numFmtId="10" xfId="0" applyAlignment="1" applyBorder="1" applyFill="1" applyFont="1" applyNumberFormat="1">
      <alignment horizontal="center" readingOrder="0" vertical="bottom"/>
    </xf>
    <xf borderId="8" fillId="271" fontId="4" numFmtId="10" xfId="0" applyAlignment="1" applyBorder="1" applyFill="1" applyFont="1" applyNumberFormat="1">
      <alignment horizontal="center" readingOrder="0" vertical="bottom"/>
    </xf>
    <xf borderId="8" fillId="272" fontId="4" numFmtId="10" xfId="0" applyAlignment="1" applyBorder="1" applyFill="1" applyFont="1" applyNumberFormat="1">
      <alignment horizontal="center" readingOrder="0" vertical="bottom"/>
    </xf>
    <xf borderId="8" fillId="273" fontId="4" numFmtId="10" xfId="0" applyAlignment="1" applyBorder="1" applyFill="1" applyFont="1" applyNumberFormat="1">
      <alignment horizontal="center" readingOrder="0" vertical="bottom"/>
    </xf>
    <xf borderId="8" fillId="274" fontId="4" numFmtId="10" xfId="0" applyAlignment="1" applyBorder="1" applyFill="1" applyFont="1" applyNumberFormat="1">
      <alignment horizontal="center" readingOrder="0" vertical="bottom"/>
    </xf>
    <xf borderId="8" fillId="275" fontId="4" numFmtId="10" xfId="0" applyAlignment="1" applyBorder="1" applyFill="1" applyFont="1" applyNumberFormat="1">
      <alignment horizontal="center" readingOrder="0" vertical="bottom"/>
    </xf>
    <xf borderId="8" fillId="276" fontId="4" numFmtId="10" xfId="0" applyAlignment="1" applyBorder="1" applyFill="1" applyFont="1" applyNumberFormat="1">
      <alignment horizontal="center" readingOrder="0" vertical="bottom"/>
    </xf>
    <xf borderId="8" fillId="277" fontId="4" numFmtId="10" xfId="0" applyAlignment="1" applyBorder="1" applyFill="1" applyFont="1" applyNumberFormat="1">
      <alignment horizontal="center" readingOrder="0" vertical="bottom"/>
    </xf>
    <xf borderId="8" fillId="278" fontId="4" numFmtId="10" xfId="0" applyAlignment="1" applyBorder="1" applyFill="1" applyFont="1" applyNumberFormat="1">
      <alignment horizontal="center" readingOrder="0" vertical="bottom"/>
    </xf>
    <xf borderId="8" fillId="279" fontId="4" numFmtId="10" xfId="0" applyAlignment="1" applyBorder="1" applyFill="1" applyFont="1" applyNumberFormat="1">
      <alignment horizontal="center" readingOrder="0" vertical="bottom"/>
    </xf>
    <xf borderId="8" fillId="280" fontId="4" numFmtId="10" xfId="0" applyAlignment="1" applyBorder="1" applyFill="1" applyFont="1" applyNumberFormat="1">
      <alignment horizontal="center" readingOrder="0" vertical="bottom"/>
    </xf>
    <xf borderId="8" fillId="281" fontId="4" numFmtId="10" xfId="0" applyAlignment="1" applyBorder="1" applyFill="1" applyFont="1" applyNumberFormat="1">
      <alignment horizontal="center" readingOrder="0" vertical="bottom"/>
    </xf>
    <xf borderId="8" fillId="282" fontId="4" numFmtId="10" xfId="0" applyAlignment="1" applyBorder="1" applyFill="1" applyFont="1" applyNumberFormat="1">
      <alignment horizontal="center" readingOrder="0" vertical="bottom"/>
    </xf>
    <xf borderId="8" fillId="283" fontId="4" numFmtId="10" xfId="0" applyAlignment="1" applyBorder="1" applyFill="1" applyFont="1" applyNumberFormat="1">
      <alignment horizontal="center" readingOrder="0" vertical="bottom"/>
    </xf>
    <xf borderId="8" fillId="284" fontId="4" numFmtId="10" xfId="0" applyAlignment="1" applyBorder="1" applyFill="1" applyFont="1" applyNumberFormat="1">
      <alignment horizontal="center" readingOrder="0" vertical="bottom"/>
    </xf>
    <xf borderId="8" fillId="285" fontId="4" numFmtId="10" xfId="0" applyAlignment="1" applyBorder="1" applyFill="1" applyFont="1" applyNumberFormat="1">
      <alignment horizontal="center" readingOrder="0" vertical="bottom"/>
    </xf>
    <xf borderId="8" fillId="286" fontId="4" numFmtId="10" xfId="0" applyAlignment="1" applyBorder="1" applyFill="1" applyFont="1" applyNumberFormat="1">
      <alignment horizontal="center" readingOrder="0" vertical="bottom"/>
    </xf>
    <xf borderId="8" fillId="287" fontId="4" numFmtId="10" xfId="0" applyAlignment="1" applyBorder="1" applyFill="1" applyFont="1" applyNumberFormat="1">
      <alignment horizontal="center" readingOrder="0" vertical="bottom"/>
    </xf>
    <xf borderId="8" fillId="0" fontId="4" numFmtId="0" xfId="0" applyAlignment="1" applyBorder="1" applyFont="1">
      <alignment horizontal="center" vertical="bottom"/>
    </xf>
    <xf borderId="8" fillId="288" fontId="4" numFmtId="10" xfId="0" applyAlignment="1" applyBorder="1" applyFill="1" applyFont="1" applyNumberFormat="1">
      <alignment horizontal="center" readingOrder="0" vertical="bottom"/>
    </xf>
    <xf borderId="8" fillId="289" fontId="4" numFmtId="10" xfId="0" applyAlignment="1" applyBorder="1" applyFill="1" applyFont="1" applyNumberFormat="1">
      <alignment horizontal="center" readingOrder="0" vertical="bottom"/>
    </xf>
    <xf borderId="8" fillId="290" fontId="4" numFmtId="10" xfId="0" applyAlignment="1" applyBorder="1" applyFill="1" applyFont="1" applyNumberFormat="1">
      <alignment horizontal="center" readingOrder="0" vertical="bottom"/>
    </xf>
    <xf borderId="8" fillId="291" fontId="4" numFmtId="10" xfId="0" applyAlignment="1" applyBorder="1" applyFill="1" applyFont="1" applyNumberFormat="1">
      <alignment horizontal="center" readingOrder="0" vertical="bottom"/>
    </xf>
    <xf borderId="8" fillId="292" fontId="4" numFmtId="10" xfId="0" applyAlignment="1" applyBorder="1" applyFill="1" applyFont="1" applyNumberFormat="1">
      <alignment horizontal="center" readingOrder="0" vertical="bottom"/>
    </xf>
    <xf borderId="8" fillId="0" fontId="1" numFmtId="0" xfId="0" applyAlignment="1" applyBorder="1" applyFont="1">
      <alignment readingOrder="0" vertical="bottom"/>
    </xf>
    <xf borderId="8" fillId="293" fontId="4" numFmtId="10" xfId="0" applyAlignment="1" applyBorder="1" applyFill="1" applyFont="1" applyNumberFormat="1">
      <alignment horizontal="center" readingOrder="0" vertical="bottom"/>
    </xf>
    <xf borderId="8" fillId="294" fontId="4" numFmtId="10" xfId="0" applyAlignment="1" applyBorder="1" applyFill="1" applyFont="1" applyNumberFormat="1">
      <alignment horizontal="center" readingOrder="0" vertical="bottom"/>
    </xf>
    <xf borderId="8" fillId="295" fontId="4" numFmtId="10" xfId="0" applyAlignment="1" applyBorder="1" applyFill="1" applyFont="1" applyNumberFormat="1">
      <alignment horizontal="center" readingOrder="0" vertical="bottom"/>
    </xf>
    <xf borderId="8" fillId="296" fontId="4" numFmtId="10" xfId="0" applyAlignment="1" applyBorder="1" applyFill="1" applyFont="1" applyNumberFormat="1">
      <alignment horizontal="center" readingOrder="0" vertical="bottom"/>
    </xf>
    <xf borderId="8" fillId="297" fontId="4" numFmtId="10" xfId="0" applyAlignment="1" applyBorder="1" applyFill="1" applyFont="1" applyNumberFormat="1">
      <alignment horizontal="center" readingOrder="0" vertical="bottom"/>
    </xf>
    <xf borderId="8" fillId="298" fontId="4" numFmtId="10" xfId="0" applyAlignment="1" applyBorder="1" applyFill="1" applyFont="1" applyNumberFormat="1">
      <alignment horizontal="center" readingOrder="0" vertical="bottom"/>
    </xf>
    <xf borderId="8" fillId="299" fontId="4" numFmtId="10" xfId="0" applyAlignment="1" applyBorder="1" applyFill="1" applyFont="1" applyNumberFormat="1">
      <alignment horizontal="center" readingOrder="0" vertical="bottom"/>
    </xf>
    <xf borderId="8" fillId="300" fontId="4" numFmtId="10" xfId="0" applyAlignment="1" applyBorder="1" applyFill="1" applyFont="1" applyNumberFormat="1">
      <alignment horizontal="center" readingOrder="0" vertical="bottom"/>
    </xf>
    <xf borderId="8" fillId="301" fontId="4" numFmtId="10" xfId="0" applyAlignment="1" applyBorder="1" applyFill="1" applyFont="1" applyNumberFormat="1">
      <alignment horizontal="center" readingOrder="0" vertical="bottom"/>
    </xf>
    <xf borderId="8" fillId="302" fontId="4" numFmtId="10" xfId="0" applyAlignment="1" applyBorder="1" applyFill="1" applyFont="1" applyNumberFormat="1">
      <alignment horizontal="center" readingOrder="0" vertical="bottom"/>
    </xf>
    <xf borderId="8" fillId="303" fontId="4" numFmtId="10" xfId="0" applyAlignment="1" applyBorder="1" applyFill="1" applyFont="1" applyNumberFormat="1">
      <alignment horizontal="center" readingOrder="0" vertical="bottom"/>
    </xf>
    <xf borderId="8" fillId="304" fontId="4" numFmtId="10" xfId="0" applyAlignment="1" applyBorder="1" applyFill="1" applyFont="1" applyNumberFormat="1">
      <alignment horizontal="center" readingOrder="0" vertical="bottom"/>
    </xf>
    <xf borderId="8" fillId="305" fontId="4" numFmtId="10" xfId="0" applyAlignment="1" applyBorder="1" applyFill="1" applyFont="1" applyNumberFormat="1">
      <alignment horizontal="center" readingOrder="0" vertical="bottom"/>
    </xf>
    <xf borderId="8" fillId="306" fontId="4" numFmtId="10" xfId="0" applyAlignment="1" applyBorder="1" applyFill="1" applyFont="1" applyNumberFormat="1">
      <alignment horizontal="center" readingOrder="0" vertical="bottom"/>
    </xf>
    <xf borderId="8" fillId="307" fontId="4" numFmtId="10" xfId="0" applyAlignment="1" applyBorder="1" applyFill="1" applyFont="1" applyNumberFormat="1">
      <alignment horizontal="center" readingOrder="0" vertical="bottom"/>
    </xf>
    <xf borderId="8" fillId="308" fontId="4" numFmtId="10" xfId="0" applyAlignment="1" applyBorder="1" applyFill="1" applyFont="1" applyNumberFormat="1">
      <alignment horizontal="center" readingOrder="0" vertical="bottom"/>
    </xf>
    <xf borderId="8" fillId="309" fontId="4" numFmtId="10" xfId="0" applyAlignment="1" applyBorder="1" applyFill="1" applyFont="1" applyNumberFormat="1">
      <alignment horizontal="center" readingOrder="0" vertical="bottom"/>
    </xf>
    <xf borderId="8" fillId="310" fontId="4" numFmtId="10" xfId="0" applyAlignment="1" applyBorder="1" applyFill="1" applyFont="1" applyNumberFormat="1">
      <alignment horizontal="center" readingOrder="0" vertical="bottom"/>
    </xf>
    <xf borderId="8" fillId="311" fontId="4" numFmtId="10" xfId="0" applyAlignment="1" applyBorder="1" applyFill="1" applyFont="1" applyNumberFormat="1">
      <alignment horizontal="center" readingOrder="0" vertical="bottom"/>
    </xf>
    <xf borderId="8" fillId="312" fontId="4" numFmtId="10" xfId="0" applyAlignment="1" applyBorder="1" applyFill="1" applyFont="1" applyNumberFormat="1">
      <alignment horizontal="center" readingOrder="0" vertical="bottom"/>
    </xf>
    <xf borderId="8" fillId="313" fontId="4" numFmtId="10" xfId="0" applyAlignment="1" applyBorder="1" applyFill="1" applyFont="1" applyNumberFormat="1">
      <alignment horizontal="center" readingOrder="0" vertical="bottom"/>
    </xf>
    <xf borderId="19" fillId="314" fontId="6" numFmtId="0" xfId="0" applyAlignment="1" applyBorder="1" applyFill="1" applyFont="1">
      <alignment horizontal="center" vertical="bottom"/>
    </xf>
    <xf borderId="19" fillId="315" fontId="6" numFmtId="0" xfId="0" applyAlignment="1" applyBorder="1" applyFill="1" applyFont="1">
      <alignment horizontal="center" vertical="bottom"/>
    </xf>
    <xf borderId="19" fillId="11" fontId="7" numFmtId="0" xfId="0" applyAlignment="1" applyBorder="1" applyFont="1">
      <alignment horizontal="center" vertical="bottom"/>
    </xf>
    <xf borderId="19" fillId="0" fontId="7" numFmtId="10" xfId="0" applyAlignment="1" applyBorder="1" applyFont="1" applyNumberFormat="1">
      <alignment horizontal="center" vertical="bottom"/>
    </xf>
    <xf borderId="19" fillId="0" fontId="7" numFmtId="0" xfId="0" applyAlignment="1" applyBorder="1" applyFont="1">
      <alignment horizontal="center" vertical="bottom"/>
    </xf>
    <xf borderId="20" fillId="316" fontId="8" numFmtId="10" xfId="0" applyAlignment="1" applyBorder="1" applyFill="1" applyFont="1" applyNumberFormat="1">
      <alignment horizontal="right" vertical="bottom"/>
    </xf>
    <xf borderId="19" fillId="0" fontId="8" numFmtId="0" xfId="0" applyAlignment="1" applyBorder="1" applyFont="1">
      <alignment horizontal="center" vertical="bottom"/>
    </xf>
    <xf borderId="21" fillId="316" fontId="8" numFmtId="10" xfId="0" applyAlignment="1" applyBorder="1" applyFont="1" applyNumberFormat="1">
      <alignment horizontal="right" vertical="bottom"/>
    </xf>
    <xf borderId="20" fillId="0" fontId="8" numFmtId="10" xfId="0" applyAlignment="1" applyBorder="1" applyFont="1" applyNumberFormat="1">
      <alignment horizontal="right" vertical="bottom"/>
    </xf>
    <xf borderId="21" fillId="0" fontId="8" numFmtId="10" xfId="0" applyAlignment="1" applyBorder="1" applyFont="1" applyNumberFormat="1">
      <alignment horizontal="right" vertical="bottom"/>
    </xf>
    <xf borderId="8" fillId="30" fontId="4" numFmtId="10" xfId="0" applyAlignment="1" applyBorder="1" applyFont="1" applyNumberFormat="1">
      <alignment horizontal="center" vertical="bottom"/>
    </xf>
    <xf borderId="8" fillId="317" fontId="4" numFmtId="10" xfId="0" applyAlignment="1" applyBorder="1" applyFill="1" applyFont="1" applyNumberFormat="1">
      <alignment horizontal="center" vertical="bottom"/>
    </xf>
    <xf borderId="8" fillId="53" fontId="4" numFmtId="10" xfId="0" applyAlignment="1" applyBorder="1" applyFont="1" applyNumberFormat="1">
      <alignment horizontal="center" vertical="bottom"/>
    </xf>
    <xf borderId="8" fillId="42" fontId="4" numFmtId="10" xfId="0" applyAlignment="1" applyBorder="1" applyFont="1" applyNumberFormat="1">
      <alignment horizontal="center" vertical="bottom"/>
    </xf>
    <xf borderId="8" fillId="318" fontId="4" numFmtId="10" xfId="0" applyAlignment="1" applyBorder="1" applyFill="1" applyFont="1" applyNumberFormat="1">
      <alignment horizontal="center" vertical="bottom"/>
    </xf>
    <xf borderId="8" fillId="97" fontId="4" numFmtId="10" xfId="0" applyAlignment="1" applyBorder="1" applyFont="1" applyNumberFormat="1">
      <alignment horizontal="center" vertical="bottom"/>
    </xf>
    <xf borderId="8" fillId="319" fontId="4" numFmtId="10" xfId="0" applyAlignment="1" applyBorder="1" applyFill="1" applyFont="1" applyNumberFormat="1">
      <alignment horizontal="center" vertical="bottom"/>
    </xf>
    <xf borderId="8" fillId="20" fontId="4" numFmtId="10" xfId="0" applyAlignment="1" applyBorder="1" applyFont="1" applyNumberFormat="1">
      <alignment horizontal="center" vertical="bottom"/>
    </xf>
    <xf borderId="8" fillId="24" fontId="4" numFmtId="10" xfId="0" applyAlignment="1" applyBorder="1" applyFont="1" applyNumberFormat="1">
      <alignment horizontal="center" vertical="bottom"/>
    </xf>
    <xf borderId="8" fillId="137" fontId="4" numFmtId="10" xfId="0" applyAlignment="1" applyBorder="1" applyFont="1" applyNumberFormat="1">
      <alignment horizontal="center" vertical="bottom"/>
    </xf>
    <xf borderId="8" fillId="142" fontId="4" numFmtId="10" xfId="0" applyAlignment="1" applyBorder="1" applyFont="1" applyNumberFormat="1">
      <alignment horizontal="center" vertical="bottom"/>
    </xf>
    <xf borderId="8" fillId="23" fontId="4" numFmtId="10" xfId="0" applyAlignment="1" applyBorder="1" applyFont="1" applyNumberFormat="1">
      <alignment horizontal="center" vertical="bottom"/>
    </xf>
    <xf borderId="8" fillId="221" fontId="4" numFmtId="10" xfId="0" applyAlignment="1" applyBorder="1" applyFont="1" applyNumberFormat="1">
      <alignment horizontal="center" vertical="bottom"/>
    </xf>
    <xf borderId="8" fillId="320" fontId="4" numFmtId="10" xfId="0" applyAlignment="1" applyBorder="1" applyFill="1" applyFont="1" applyNumberFormat="1">
      <alignment horizontal="center" vertical="bottom"/>
    </xf>
    <xf borderId="19" fillId="321" fontId="9" numFmtId="0" xfId="0" applyAlignment="1" applyBorder="1" applyFill="1" applyFont="1">
      <alignment vertical="top"/>
    </xf>
    <xf borderId="19" fillId="0" fontId="10" numFmtId="10" xfId="0" applyAlignment="1" applyBorder="1" applyFont="1" applyNumberFormat="1">
      <alignment horizontal="right" vertical="top"/>
    </xf>
    <xf borderId="19" fillId="0" fontId="10" numFmtId="0" xfId="0" applyAlignment="1" applyBorder="1" applyFont="1">
      <alignment vertical="top"/>
    </xf>
    <xf borderId="19" fillId="0" fontId="1" numFmtId="0" xfId="0" applyAlignment="1" applyBorder="1" applyFont="1">
      <alignment vertical="top"/>
    </xf>
    <xf borderId="0" fillId="0" fontId="11" numFmtId="10" xfId="0" applyAlignment="1" applyFont="1" applyNumberFormat="1">
      <alignment horizontal="right" vertical="bottom"/>
    </xf>
    <xf borderId="0" fillId="0" fontId="1" numFmtId="10" xfId="0" applyAlignment="1" applyFont="1" applyNumberFormat="1">
      <alignment vertical="bottom"/>
    </xf>
    <xf borderId="0" fillId="0" fontId="12" numFmtId="0" xfId="0" applyAlignment="1" applyFont="1">
      <alignment readingOrder="0"/>
    </xf>
    <xf borderId="19" fillId="314" fontId="6" numFmtId="0" xfId="0" applyAlignment="1" applyBorder="1" applyFont="1">
      <alignment horizontal="center" readingOrder="0" vertical="bottom"/>
    </xf>
    <xf borderId="19" fillId="315" fontId="6" numFmtId="0" xfId="0" applyAlignment="1" applyBorder="1" applyFont="1">
      <alignment horizontal="center" readingOrder="0" vertical="bottom"/>
    </xf>
    <xf borderId="19" fillId="11" fontId="7" numFmtId="0" xfId="0" applyAlignment="1" applyBorder="1" applyFont="1">
      <alignment horizontal="center" readingOrder="0" vertical="bottom"/>
    </xf>
    <xf borderId="19" fillId="11" fontId="7" numFmtId="10" xfId="0" applyAlignment="1" applyBorder="1" applyFont="1" applyNumberFormat="1">
      <alignment horizontal="center" readingOrder="0" vertical="bottom"/>
    </xf>
    <xf borderId="19" fillId="11" fontId="7" numFmtId="0" xfId="0" applyAlignment="1" applyBorder="1" applyFont="1">
      <alignment horizontal="center" vertical="bottom"/>
    </xf>
    <xf borderId="19" fillId="11" fontId="13" numFmtId="10" xfId="0" applyAlignment="1" applyBorder="1" applyFont="1" applyNumberFormat="1">
      <alignment horizontal="center" vertical="bottom"/>
    </xf>
    <xf borderId="19" fillId="11" fontId="7" numFmtId="10" xfId="0" applyAlignment="1" applyBorder="1" applyFont="1" applyNumberFormat="1">
      <alignment horizontal="center" vertical="bottom"/>
    </xf>
    <xf borderId="21" fillId="322" fontId="14" numFmtId="10" xfId="0" applyAlignment="1" applyBorder="1" applyFill="1" applyFont="1" applyNumberFormat="1">
      <alignment horizontal="center" vertical="bottom"/>
    </xf>
    <xf borderId="22" fillId="11" fontId="7" numFmtId="0" xfId="0" applyAlignment="1" applyBorder="1" applyFont="1">
      <alignment horizontal="center" vertical="bottom"/>
    </xf>
    <xf borderId="21" fillId="0" fontId="14" numFmtId="10" xfId="0" applyAlignment="1" applyBorder="1" applyFont="1" applyNumberFormat="1">
      <alignment horizontal="center" vertical="bottom"/>
    </xf>
    <xf borderId="21" fillId="0" fontId="1" numFmtId="10" xfId="0" applyAlignment="1" applyBorder="1" applyFont="1" applyNumberFormat="1">
      <alignment horizontal="center" vertical="bottom"/>
    </xf>
    <xf borderId="8" fillId="15" fontId="4" numFmtId="10" xfId="0" applyAlignment="1" applyBorder="1" applyFont="1" applyNumberFormat="1">
      <alignment horizontal="center" vertical="bottom"/>
    </xf>
    <xf borderId="8" fillId="162" fontId="4" numFmtId="10" xfId="0" applyAlignment="1" applyBorder="1" applyFont="1" applyNumberFormat="1">
      <alignment horizontal="center" vertical="bottom"/>
    </xf>
    <xf borderId="8" fillId="121" fontId="4" numFmtId="10" xfId="0" applyAlignment="1" applyBorder="1" applyFont="1" applyNumberFormat="1">
      <alignment horizontal="center" vertical="bottom"/>
    </xf>
    <xf borderId="8" fillId="89" fontId="4" numFmtId="10" xfId="0" applyAlignment="1" applyBorder="1" applyFont="1" applyNumberFormat="1">
      <alignment horizontal="center" vertical="bottom"/>
    </xf>
    <xf borderId="8" fillId="268" fontId="4" numFmtId="10" xfId="0" applyAlignment="1" applyBorder="1" applyFont="1" applyNumberFormat="1">
      <alignment horizontal="center" vertical="bottom"/>
    </xf>
    <xf borderId="8" fillId="233" fontId="4" numFmtId="10" xfId="0" applyAlignment="1" applyBorder="1" applyFont="1" applyNumberFormat="1">
      <alignment horizontal="center" vertical="bottom"/>
    </xf>
    <xf borderId="8" fillId="129" fontId="4" numFmtId="10" xfId="0" applyAlignment="1" applyBorder="1" applyFont="1" applyNumberFormat="1">
      <alignment horizontal="center" vertical="bottom"/>
    </xf>
    <xf borderId="8" fillId="224" fontId="4" numFmtId="10" xfId="0" applyAlignment="1" applyBorder="1" applyFont="1" applyNumberFormat="1">
      <alignment horizontal="center" vertical="bottom"/>
    </xf>
    <xf borderId="8" fillId="230" fontId="4" numFmtId="10" xfId="0" applyAlignment="1" applyBorder="1" applyFont="1" applyNumberFormat="1">
      <alignment horizontal="center" vertical="bottom"/>
    </xf>
    <xf borderId="8" fillId="257" fontId="4" numFmtId="10" xfId="0" applyAlignment="1" applyBorder="1" applyFont="1" applyNumberFormat="1">
      <alignment horizontal="center" vertical="bottom"/>
    </xf>
    <xf borderId="8" fillId="227" fontId="4" numFmtId="10" xfId="0" applyAlignment="1" applyBorder="1" applyFont="1" applyNumberFormat="1">
      <alignment horizontal="center" vertical="bottom"/>
    </xf>
    <xf borderId="8" fillId="149" fontId="4" numFmtId="10" xfId="0" applyAlignment="1" applyBorder="1" applyFont="1" applyNumberFormat="1">
      <alignment horizontal="center" vertical="bottom"/>
    </xf>
    <xf borderId="8" fillId="299" fontId="4" numFmtId="10" xfId="0" applyAlignment="1" applyBorder="1" applyFont="1" applyNumberFormat="1">
      <alignment horizontal="center" vertical="bottom"/>
    </xf>
    <xf borderId="8" fillId="25" fontId="4" numFmtId="10" xfId="0" applyAlignment="1" applyBorder="1" applyFont="1" applyNumberFormat="1">
      <alignment horizontal="center" vertical="bottom"/>
    </xf>
    <xf borderId="19" fillId="321" fontId="9" numFmtId="0" xfId="0" applyAlignment="1" applyBorder="1" applyFont="1">
      <alignment vertical="top"/>
    </xf>
    <xf borderId="19" fillId="0" fontId="10" numFmtId="0" xfId="0" applyAlignment="1" applyBorder="1" applyFont="1">
      <alignment vertical="top"/>
    </xf>
    <xf borderId="0" fillId="0" fontId="1" numFmtId="10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2" t="s">
        <v>0</v>
      </c>
      <c r="N1" s="1"/>
      <c r="O1" s="1"/>
      <c r="P1" s="3" t="s">
        <v>1</v>
      </c>
      <c r="AB1" s="1"/>
      <c r="AC1" s="4" t="s">
        <v>2</v>
      </c>
      <c r="AI1" s="5" t="s">
        <v>3</v>
      </c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</row>
    <row r="2">
      <c r="A2" s="6"/>
      <c r="B2" s="7" t="s">
        <v>4</v>
      </c>
      <c r="C2" s="8"/>
      <c r="D2" s="8"/>
      <c r="E2" s="8"/>
      <c r="F2" s="8"/>
      <c r="G2" s="8"/>
      <c r="H2" s="8"/>
      <c r="I2" s="8"/>
      <c r="J2" s="8"/>
      <c r="K2" s="8"/>
      <c r="L2" s="8"/>
      <c r="M2" s="9"/>
      <c r="N2" s="1"/>
      <c r="O2" s="6"/>
      <c r="P2" s="10" t="s">
        <v>5</v>
      </c>
      <c r="Q2" s="8"/>
      <c r="R2" s="8"/>
      <c r="S2" s="8"/>
      <c r="T2" s="8"/>
      <c r="U2" s="8"/>
      <c r="V2" s="8"/>
      <c r="W2" s="8"/>
      <c r="X2" s="8"/>
      <c r="Y2" s="8"/>
      <c r="Z2" s="8"/>
      <c r="AA2" s="9"/>
      <c r="AB2" s="1"/>
      <c r="AC2" s="11" t="s">
        <v>6</v>
      </c>
      <c r="AE2" s="1"/>
      <c r="AF2" s="1"/>
      <c r="AG2" s="1"/>
      <c r="AH2" s="12" t="s">
        <v>7</v>
      </c>
      <c r="AI2" s="1"/>
      <c r="AJ2" s="1"/>
      <c r="AK2" s="1"/>
      <c r="AL2" s="1"/>
      <c r="AM2" s="1"/>
      <c r="AN2" s="12" t="s">
        <v>8</v>
      </c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</row>
    <row r="3">
      <c r="A3" s="13"/>
      <c r="B3" s="14" t="s">
        <v>9</v>
      </c>
      <c r="C3" s="9"/>
      <c r="D3" s="14" t="s">
        <v>10</v>
      </c>
      <c r="E3" s="9"/>
      <c r="F3" s="14" t="s">
        <v>11</v>
      </c>
      <c r="G3" s="9"/>
      <c r="H3" s="15" t="s">
        <v>9</v>
      </c>
      <c r="I3" s="9"/>
      <c r="J3" s="15" t="s">
        <v>10</v>
      </c>
      <c r="K3" s="9"/>
      <c r="L3" s="15" t="s">
        <v>12</v>
      </c>
      <c r="M3" s="9"/>
      <c r="N3" s="1"/>
      <c r="O3" s="13"/>
      <c r="P3" s="16" t="s">
        <v>9</v>
      </c>
      <c r="Q3" s="16" t="s">
        <v>10</v>
      </c>
      <c r="R3" s="16" t="s">
        <v>11</v>
      </c>
      <c r="S3" s="17" t="s">
        <v>9</v>
      </c>
      <c r="T3" s="17" t="s">
        <v>10</v>
      </c>
      <c r="U3" s="17" t="s">
        <v>12</v>
      </c>
      <c r="V3" s="16" t="s">
        <v>9</v>
      </c>
      <c r="W3" s="16" t="s">
        <v>10</v>
      </c>
      <c r="X3" s="16" t="s">
        <v>11</v>
      </c>
      <c r="Y3" s="17" t="s">
        <v>9</v>
      </c>
      <c r="Z3" s="17" t="s">
        <v>10</v>
      </c>
      <c r="AA3" s="17" t="s">
        <v>12</v>
      </c>
      <c r="AB3" s="1"/>
      <c r="AC3" s="18" t="s">
        <v>13</v>
      </c>
      <c r="AD3" s="8"/>
      <c r="AE3" s="8"/>
      <c r="AF3" s="8"/>
      <c r="AG3" s="8"/>
      <c r="AH3" s="9"/>
      <c r="AI3" s="18" t="s">
        <v>14</v>
      </c>
      <c r="AJ3" s="8"/>
      <c r="AK3" s="8"/>
      <c r="AL3" s="8"/>
      <c r="AM3" s="8"/>
      <c r="AN3" s="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</row>
    <row r="4">
      <c r="A4" s="20" t="s">
        <v>15</v>
      </c>
      <c r="B4" s="21" t="s">
        <v>16</v>
      </c>
      <c r="C4" s="21" t="s">
        <v>17</v>
      </c>
      <c r="D4" s="21" t="s">
        <v>18</v>
      </c>
      <c r="E4" s="21" t="s">
        <v>19</v>
      </c>
      <c r="F4" s="21" t="s">
        <v>20</v>
      </c>
      <c r="G4" s="21" t="s">
        <v>21</v>
      </c>
      <c r="H4" s="21" t="s">
        <v>22</v>
      </c>
      <c r="I4" s="21" t="s">
        <v>23</v>
      </c>
      <c r="J4" s="21" t="s">
        <v>24</v>
      </c>
      <c r="K4" s="21" t="s">
        <v>25</v>
      </c>
      <c r="L4" s="21" t="s">
        <v>26</v>
      </c>
      <c r="M4" s="21" t="s">
        <v>27</v>
      </c>
      <c r="N4" s="1"/>
      <c r="O4" s="20" t="s">
        <v>15</v>
      </c>
      <c r="P4" s="21" t="s">
        <v>16</v>
      </c>
      <c r="Q4" s="21" t="s">
        <v>17</v>
      </c>
      <c r="R4" s="21" t="s">
        <v>18</v>
      </c>
      <c r="S4" s="21" t="s">
        <v>19</v>
      </c>
      <c r="T4" s="21" t="s">
        <v>20</v>
      </c>
      <c r="U4" s="21" t="s">
        <v>21</v>
      </c>
      <c r="V4" s="21" t="s">
        <v>22</v>
      </c>
      <c r="W4" s="21" t="s">
        <v>23</v>
      </c>
      <c r="X4" s="21" t="s">
        <v>24</v>
      </c>
      <c r="Y4" s="21" t="s">
        <v>25</v>
      </c>
      <c r="Z4" s="21" t="s">
        <v>26</v>
      </c>
      <c r="AA4" s="21" t="s">
        <v>27</v>
      </c>
      <c r="AB4" s="1"/>
      <c r="AC4" s="21" t="s">
        <v>16</v>
      </c>
      <c r="AD4" s="21" t="s">
        <v>17</v>
      </c>
      <c r="AE4" s="21" t="s">
        <v>18</v>
      </c>
      <c r="AF4" s="21" t="s">
        <v>19</v>
      </c>
      <c r="AG4" s="21" t="s">
        <v>20</v>
      </c>
      <c r="AH4" s="21" t="s">
        <v>21</v>
      </c>
      <c r="AI4" s="21" t="s">
        <v>22</v>
      </c>
      <c r="AJ4" s="21" t="s">
        <v>23</v>
      </c>
      <c r="AK4" s="21" t="s">
        <v>24</v>
      </c>
      <c r="AL4" s="21" t="s">
        <v>25</v>
      </c>
      <c r="AM4" s="21" t="s">
        <v>26</v>
      </c>
      <c r="AN4" s="21" t="s">
        <v>27</v>
      </c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2"/>
      <c r="CJ4" s="22"/>
      <c r="CK4" s="22"/>
      <c r="CL4" s="22"/>
      <c r="CM4" s="22"/>
      <c r="CN4" s="22"/>
      <c r="CO4" s="22"/>
      <c r="CP4" s="22"/>
      <c r="CQ4" s="22"/>
      <c r="CR4" s="22"/>
      <c r="CS4" s="22"/>
      <c r="CT4" s="22"/>
      <c r="CU4" s="22"/>
      <c r="CV4" s="22"/>
      <c r="CW4" s="22"/>
      <c r="CX4" s="22"/>
      <c r="CY4" s="22"/>
      <c r="CZ4" s="22"/>
      <c r="DA4" s="22"/>
      <c r="DB4" s="22"/>
      <c r="DC4" s="22"/>
      <c r="DD4" s="22"/>
      <c r="DE4" s="22"/>
      <c r="DF4" s="22"/>
      <c r="DG4" s="22"/>
      <c r="DH4" s="22"/>
    </row>
    <row r="5">
      <c r="A5" s="23" t="s">
        <v>28</v>
      </c>
      <c r="B5" s="24">
        <v>480.0</v>
      </c>
      <c r="C5" s="24">
        <v>827.0</v>
      </c>
      <c r="D5" s="24">
        <v>1307.0</v>
      </c>
      <c r="E5" s="25">
        <v>0.006</v>
      </c>
      <c r="F5" s="26">
        <v>0.0217</v>
      </c>
      <c r="G5" s="27">
        <v>0.0111</v>
      </c>
      <c r="H5" s="24">
        <v>44926.0</v>
      </c>
      <c r="I5" s="24">
        <v>28194.0</v>
      </c>
      <c r="J5" s="24">
        <v>73120.0</v>
      </c>
      <c r="K5" s="28">
        <v>0.0086</v>
      </c>
      <c r="L5" s="29">
        <v>0.0223</v>
      </c>
      <c r="M5" s="30">
        <v>0.0113</v>
      </c>
      <c r="N5" s="1"/>
      <c r="O5" s="23" t="s">
        <v>28</v>
      </c>
      <c r="P5" s="24">
        <v>433.0</v>
      </c>
      <c r="Q5" s="24">
        <v>714.0</v>
      </c>
      <c r="R5" s="24">
        <v>1147.0</v>
      </c>
      <c r="S5" s="31">
        <v>0.0054</v>
      </c>
      <c r="T5" s="26">
        <v>0.0187</v>
      </c>
      <c r="U5" s="32">
        <v>0.0097</v>
      </c>
      <c r="V5" s="24">
        <v>35869.0</v>
      </c>
      <c r="W5" s="24">
        <v>24006.0</v>
      </c>
      <c r="X5" s="24">
        <v>59874.0</v>
      </c>
      <c r="Y5" s="33">
        <v>0.0069</v>
      </c>
      <c r="Z5" s="34">
        <v>0.019</v>
      </c>
      <c r="AA5" s="35">
        <v>0.0092</v>
      </c>
      <c r="AB5" s="1"/>
      <c r="AC5" s="24">
        <v>84.0</v>
      </c>
      <c r="AD5" s="24">
        <v>0.0</v>
      </c>
      <c r="AE5" s="24">
        <v>0.0</v>
      </c>
      <c r="AF5" s="36">
        <v>0.0017</v>
      </c>
      <c r="AG5" s="37">
        <v>0.0</v>
      </c>
      <c r="AH5" s="37">
        <v>0.0</v>
      </c>
      <c r="AI5" s="24">
        <v>8241.0</v>
      </c>
      <c r="AJ5" s="24">
        <v>0.0</v>
      </c>
      <c r="AK5" s="24">
        <v>0.0</v>
      </c>
      <c r="AL5" s="38">
        <v>0.0016</v>
      </c>
      <c r="AM5" s="37">
        <v>0.0</v>
      </c>
      <c r="AN5" s="37">
        <v>0.0</v>
      </c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9"/>
      <c r="CZ5" s="39"/>
      <c r="DA5" s="39"/>
      <c r="DB5" s="39"/>
      <c r="DC5" s="39"/>
      <c r="DD5" s="39"/>
      <c r="DE5" s="39"/>
      <c r="DF5" s="39"/>
      <c r="DG5" s="39"/>
      <c r="DH5" s="39"/>
    </row>
    <row r="6">
      <c r="A6" s="40" t="s">
        <v>29</v>
      </c>
      <c r="B6" s="41">
        <v>436.0</v>
      </c>
      <c r="C6" s="24">
        <v>438.0</v>
      </c>
      <c r="D6" s="24">
        <v>874.0</v>
      </c>
      <c r="E6" s="42">
        <v>0.0086</v>
      </c>
      <c r="F6" s="43">
        <v>0.0114</v>
      </c>
      <c r="G6" s="44">
        <v>0.0098</v>
      </c>
      <c r="H6" s="24">
        <v>36412.0</v>
      </c>
      <c r="I6" s="24">
        <v>15767.0</v>
      </c>
      <c r="J6" s="24">
        <v>52179.0</v>
      </c>
      <c r="K6" s="45">
        <v>0.0114</v>
      </c>
      <c r="L6" s="46">
        <v>0.0122</v>
      </c>
      <c r="M6" s="44">
        <v>0.0116</v>
      </c>
      <c r="N6" s="1"/>
      <c r="O6" s="40" t="s">
        <v>29</v>
      </c>
      <c r="P6" s="41">
        <v>407.0</v>
      </c>
      <c r="Q6" s="24">
        <v>345.0</v>
      </c>
      <c r="R6" s="41">
        <v>752.0</v>
      </c>
      <c r="S6" s="47">
        <v>0.008</v>
      </c>
      <c r="T6" s="48">
        <v>0.009</v>
      </c>
      <c r="U6" s="49">
        <v>0.0084</v>
      </c>
      <c r="V6" s="24">
        <v>31003.0</v>
      </c>
      <c r="W6" s="24">
        <v>12373.0</v>
      </c>
      <c r="X6" s="24">
        <v>43376.0</v>
      </c>
      <c r="Y6" s="50">
        <v>0.0097</v>
      </c>
      <c r="Z6" s="51">
        <v>0.0096</v>
      </c>
      <c r="AA6" s="52">
        <v>0.0097</v>
      </c>
      <c r="AB6" s="1"/>
      <c r="AC6" s="41">
        <v>117.0</v>
      </c>
      <c r="AD6" s="41">
        <v>0.0</v>
      </c>
      <c r="AE6" s="41">
        <v>0.0</v>
      </c>
      <c r="AF6" s="53">
        <v>0.0017</v>
      </c>
      <c r="AG6" s="37">
        <v>0.0</v>
      </c>
      <c r="AH6" s="37">
        <v>0.0</v>
      </c>
      <c r="AI6" s="24">
        <v>9086.0</v>
      </c>
      <c r="AJ6" s="24">
        <v>0.0</v>
      </c>
      <c r="AK6" s="24">
        <v>0.0</v>
      </c>
      <c r="AL6" s="53">
        <v>0.0028</v>
      </c>
      <c r="AM6" s="37">
        <v>0.0</v>
      </c>
      <c r="AN6" s="37">
        <v>0.0</v>
      </c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9"/>
      <c r="CZ6" s="39"/>
      <c r="DA6" s="39"/>
      <c r="DB6" s="39"/>
      <c r="DC6" s="39"/>
      <c r="DD6" s="39"/>
      <c r="DE6" s="39"/>
      <c r="DF6" s="39"/>
      <c r="DG6" s="39"/>
      <c r="DH6" s="39"/>
    </row>
    <row r="7">
      <c r="A7" s="23" t="s">
        <v>30</v>
      </c>
      <c r="B7" s="41">
        <v>358.0</v>
      </c>
      <c r="C7" s="24">
        <v>323.0</v>
      </c>
      <c r="D7" s="41">
        <v>681.0</v>
      </c>
      <c r="E7" s="54">
        <v>0.0092</v>
      </c>
      <c r="F7" s="55">
        <v>0.0137</v>
      </c>
      <c r="G7" s="56">
        <v>0.0109</v>
      </c>
      <c r="H7" s="24">
        <v>22795.0</v>
      </c>
      <c r="I7" s="24">
        <v>9972.0</v>
      </c>
      <c r="J7" s="24">
        <v>32768.0</v>
      </c>
      <c r="K7" s="57">
        <v>0.0094</v>
      </c>
      <c r="L7" s="58">
        <v>0.0147</v>
      </c>
      <c r="M7" s="59">
        <v>0.0106</v>
      </c>
      <c r="N7" s="1"/>
      <c r="O7" s="23" t="s">
        <v>30</v>
      </c>
      <c r="P7" s="41">
        <v>331.0</v>
      </c>
      <c r="Q7" s="24">
        <v>280.0</v>
      </c>
      <c r="R7" s="41">
        <v>611.0</v>
      </c>
      <c r="S7" s="60">
        <v>0.0085</v>
      </c>
      <c r="T7" s="61">
        <v>0.0119</v>
      </c>
      <c r="U7" s="62">
        <v>0.0098</v>
      </c>
      <c r="V7" s="24">
        <v>20500.0</v>
      </c>
      <c r="W7" s="24">
        <v>8598.0</v>
      </c>
      <c r="X7" s="24">
        <v>29098.0</v>
      </c>
      <c r="Y7" s="63">
        <v>0.0085</v>
      </c>
      <c r="Z7" s="64">
        <v>0.0127</v>
      </c>
      <c r="AA7" s="65">
        <v>0.0094</v>
      </c>
      <c r="AB7" s="1"/>
      <c r="AC7" s="41">
        <v>76.0</v>
      </c>
      <c r="AD7" s="41">
        <v>0.0</v>
      </c>
      <c r="AE7" s="41">
        <v>0.0</v>
      </c>
      <c r="AF7" s="56">
        <v>0.0017</v>
      </c>
      <c r="AG7" s="37">
        <v>0.0</v>
      </c>
      <c r="AH7" s="37">
        <v>0.0</v>
      </c>
      <c r="AI7" s="24">
        <v>4742.0</v>
      </c>
      <c r="AJ7" s="24">
        <v>0.0</v>
      </c>
      <c r="AK7" s="24">
        <v>0.0</v>
      </c>
      <c r="AL7" s="66">
        <v>0.002</v>
      </c>
      <c r="AM7" s="37">
        <v>0.0</v>
      </c>
      <c r="AN7" s="37">
        <v>0.0</v>
      </c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9"/>
      <c r="CZ7" s="39"/>
      <c r="DA7" s="39"/>
      <c r="DB7" s="39"/>
      <c r="DC7" s="39"/>
      <c r="DD7" s="39"/>
      <c r="DE7" s="39"/>
      <c r="DF7" s="39"/>
      <c r="DG7" s="39"/>
      <c r="DH7" s="39"/>
    </row>
    <row r="8">
      <c r="A8" s="23" t="s">
        <v>31</v>
      </c>
      <c r="B8" s="41">
        <v>373.0</v>
      </c>
      <c r="C8" s="24">
        <v>587.0</v>
      </c>
      <c r="D8" s="24">
        <v>960.0</v>
      </c>
      <c r="E8" s="53">
        <v>0.0094</v>
      </c>
      <c r="F8" s="53">
        <v>0.0218</v>
      </c>
      <c r="G8" s="53">
        <v>0.0144</v>
      </c>
      <c r="H8" s="24">
        <v>24382.0</v>
      </c>
      <c r="I8" s="24">
        <v>18728.0</v>
      </c>
      <c r="J8" s="24">
        <v>43110.0</v>
      </c>
      <c r="K8" s="53">
        <v>0.0099</v>
      </c>
      <c r="L8" s="53">
        <v>0.0233</v>
      </c>
      <c r="M8" s="53">
        <v>0.0132</v>
      </c>
      <c r="N8" s="1"/>
      <c r="O8" s="23" t="s">
        <v>31</v>
      </c>
      <c r="P8" s="41">
        <v>354.0</v>
      </c>
      <c r="Q8" s="24">
        <v>493.0</v>
      </c>
      <c r="R8" s="41">
        <v>847.0</v>
      </c>
      <c r="S8" s="53">
        <v>0.0089</v>
      </c>
      <c r="T8" s="53">
        <v>0.0183</v>
      </c>
      <c r="U8" s="53">
        <v>0.0127</v>
      </c>
      <c r="V8" s="24">
        <v>23299.0</v>
      </c>
      <c r="W8" s="24">
        <v>15363.0</v>
      </c>
      <c r="X8" s="24">
        <v>38662.0</v>
      </c>
      <c r="Y8" s="53">
        <v>0.0094</v>
      </c>
      <c r="Z8" s="53">
        <v>0.0191</v>
      </c>
      <c r="AA8" s="53">
        <v>0.0118</v>
      </c>
      <c r="AB8" s="1"/>
      <c r="AC8" s="41">
        <v>88.0</v>
      </c>
      <c r="AD8" s="41">
        <v>0.0</v>
      </c>
      <c r="AE8" s="41">
        <v>0.0</v>
      </c>
      <c r="AF8" s="67">
        <v>0.0017</v>
      </c>
      <c r="AG8" s="37">
        <v>0.0</v>
      </c>
      <c r="AH8" s="37">
        <v>0.0</v>
      </c>
      <c r="AI8" s="24">
        <v>5838.0</v>
      </c>
      <c r="AJ8" s="24">
        <v>0.0</v>
      </c>
      <c r="AK8" s="24">
        <v>0.0</v>
      </c>
      <c r="AL8" s="68">
        <v>0.0024</v>
      </c>
      <c r="AM8" s="37">
        <v>0.0</v>
      </c>
      <c r="AN8" s="37">
        <v>0.0</v>
      </c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9"/>
      <c r="CZ8" s="39"/>
      <c r="DA8" s="39"/>
      <c r="DB8" s="39"/>
      <c r="DC8" s="39"/>
      <c r="DD8" s="39"/>
      <c r="DE8" s="39"/>
      <c r="DF8" s="39"/>
      <c r="DG8" s="39"/>
      <c r="DH8" s="39"/>
    </row>
    <row r="9">
      <c r="A9" s="23" t="s">
        <v>32</v>
      </c>
      <c r="B9" s="41">
        <v>192.0</v>
      </c>
      <c r="C9" s="24">
        <v>92.0</v>
      </c>
      <c r="D9" s="41">
        <v>284.0</v>
      </c>
      <c r="E9" s="69">
        <v>0.006</v>
      </c>
      <c r="F9" s="69">
        <v>0.0048</v>
      </c>
      <c r="G9" s="69">
        <v>0.0056</v>
      </c>
      <c r="H9" s="24">
        <v>16387.0</v>
      </c>
      <c r="I9" s="24">
        <v>4298.0</v>
      </c>
      <c r="J9" s="24">
        <v>20685.0</v>
      </c>
      <c r="K9" s="70">
        <v>0.008</v>
      </c>
      <c r="L9" s="69">
        <v>0.0073</v>
      </c>
      <c r="M9" s="69">
        <v>0.0079</v>
      </c>
      <c r="N9" s="1"/>
      <c r="O9" s="23" t="s">
        <v>32</v>
      </c>
      <c r="P9" s="41">
        <v>177.0</v>
      </c>
      <c r="Q9" s="24">
        <v>71.0</v>
      </c>
      <c r="R9" s="41">
        <v>248.0</v>
      </c>
      <c r="S9" s="69">
        <v>0.0056</v>
      </c>
      <c r="T9" s="69">
        <v>0.0037</v>
      </c>
      <c r="U9" s="69">
        <v>0.0049</v>
      </c>
      <c r="V9" s="24">
        <v>14922.0</v>
      </c>
      <c r="W9" s="24">
        <v>2240.0</v>
      </c>
      <c r="X9" s="24">
        <v>17163.0</v>
      </c>
      <c r="Y9" s="71">
        <v>0.0073</v>
      </c>
      <c r="Z9" s="69">
        <v>0.0038</v>
      </c>
      <c r="AA9" s="72">
        <v>0.0065</v>
      </c>
      <c r="AB9" s="1"/>
      <c r="AC9" s="41">
        <v>1.0</v>
      </c>
      <c r="AD9" s="41">
        <v>0.0</v>
      </c>
      <c r="AE9" s="41">
        <v>0.0</v>
      </c>
      <c r="AF9" s="69">
        <v>0.0017</v>
      </c>
      <c r="AG9" s="37">
        <v>0.0</v>
      </c>
      <c r="AH9" s="37">
        <v>0.0</v>
      </c>
      <c r="AI9" s="24">
        <v>160.0</v>
      </c>
      <c r="AJ9" s="24">
        <v>0.0</v>
      </c>
      <c r="AK9" s="24">
        <v>0.0</v>
      </c>
      <c r="AL9" s="69">
        <v>1.0E-4</v>
      </c>
      <c r="AM9" s="37">
        <v>0.0</v>
      </c>
      <c r="AN9" s="37">
        <v>0.0</v>
      </c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9"/>
      <c r="CZ9" s="39"/>
      <c r="DA9" s="39"/>
      <c r="DB9" s="39"/>
      <c r="DC9" s="39"/>
      <c r="DD9" s="39"/>
      <c r="DE9" s="39"/>
      <c r="DF9" s="39"/>
      <c r="DG9" s="39"/>
      <c r="DH9" s="39"/>
    </row>
    <row r="10">
      <c r="A10" s="23" t="s">
        <v>33</v>
      </c>
      <c r="B10" s="41">
        <v>335.0</v>
      </c>
      <c r="C10" s="24">
        <v>270.0</v>
      </c>
      <c r="D10" s="41">
        <v>605.0</v>
      </c>
      <c r="E10" s="73">
        <v>0.0112</v>
      </c>
      <c r="F10" s="74">
        <v>0.0176</v>
      </c>
      <c r="G10" s="49">
        <v>0.0134</v>
      </c>
      <c r="H10" s="24">
        <v>17787.0</v>
      </c>
      <c r="I10" s="24">
        <v>7867.0</v>
      </c>
      <c r="J10" s="24">
        <v>25654.0</v>
      </c>
      <c r="K10" s="69">
        <v>0.0097</v>
      </c>
      <c r="L10" s="61">
        <v>0.0182</v>
      </c>
      <c r="M10" s="75">
        <v>0.0113</v>
      </c>
      <c r="N10" s="1"/>
      <c r="O10" s="23" t="s">
        <v>33</v>
      </c>
      <c r="P10" s="41">
        <v>222.0</v>
      </c>
      <c r="Q10" s="24">
        <v>213.0</v>
      </c>
      <c r="R10" s="41">
        <v>435.0</v>
      </c>
      <c r="S10" s="76">
        <v>0.0074</v>
      </c>
      <c r="T10" s="77">
        <v>0.0139</v>
      </c>
      <c r="U10" s="78">
        <v>0.0096</v>
      </c>
      <c r="V10" s="24">
        <v>14830.0</v>
      </c>
      <c r="W10" s="24">
        <v>6114.0</v>
      </c>
      <c r="X10" s="24">
        <v>20945.0</v>
      </c>
      <c r="Y10" s="69">
        <v>0.0081</v>
      </c>
      <c r="Z10" s="79">
        <v>0.0141</v>
      </c>
      <c r="AA10" s="69">
        <v>0.0093</v>
      </c>
      <c r="AB10" s="1"/>
      <c r="AC10" s="41">
        <v>31.0</v>
      </c>
      <c r="AD10" s="41">
        <v>0.0</v>
      </c>
      <c r="AE10" s="41">
        <v>0.0</v>
      </c>
      <c r="AF10" s="80">
        <v>0.0017</v>
      </c>
      <c r="AG10" s="37">
        <v>0.0</v>
      </c>
      <c r="AH10" s="37">
        <v>0.0</v>
      </c>
      <c r="AI10" s="24">
        <v>1964.0</v>
      </c>
      <c r="AJ10" s="24">
        <v>0.0</v>
      </c>
      <c r="AK10" s="24">
        <v>0.0</v>
      </c>
      <c r="AL10" s="51">
        <v>0.0011</v>
      </c>
      <c r="AM10" s="37">
        <v>0.0</v>
      </c>
      <c r="AN10" s="37">
        <v>0.0</v>
      </c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</row>
    <row r="11">
      <c r="A11" s="23" t="s">
        <v>34</v>
      </c>
      <c r="B11" s="81">
        <v>2174.0</v>
      </c>
      <c r="C11" s="81">
        <v>2537.0</v>
      </c>
      <c r="D11" s="81">
        <v>4711.0</v>
      </c>
      <c r="E11" s="82">
        <v>0.008</v>
      </c>
      <c r="F11" s="82">
        <v>0.0157</v>
      </c>
      <c r="G11" s="82">
        <v>0.0109</v>
      </c>
      <c r="H11" s="81">
        <v>162690.0</v>
      </c>
      <c r="I11" s="81">
        <v>84826.0</v>
      </c>
      <c r="J11" s="81">
        <v>247516.0</v>
      </c>
      <c r="K11" s="82">
        <v>0.0095</v>
      </c>
      <c r="L11" s="82">
        <v>0.0168</v>
      </c>
      <c r="M11" s="82">
        <v>0.0111</v>
      </c>
      <c r="N11" s="1"/>
      <c r="O11" s="23" t="s">
        <v>34</v>
      </c>
      <c r="P11" s="81">
        <v>1924.0</v>
      </c>
      <c r="Q11" s="81">
        <v>2116.0</v>
      </c>
      <c r="R11" s="81">
        <v>4040.0</v>
      </c>
      <c r="S11" s="82">
        <v>0.0071</v>
      </c>
      <c r="T11" s="82">
        <v>0.0131</v>
      </c>
      <c r="U11" s="82">
        <v>0.0093</v>
      </c>
      <c r="V11" s="81">
        <v>140424.0</v>
      </c>
      <c r="W11" s="81">
        <v>68694.0</v>
      </c>
      <c r="X11" s="81">
        <v>209118.0</v>
      </c>
      <c r="Y11" s="82">
        <v>0.0082</v>
      </c>
      <c r="Z11" s="82">
        <v>0.0136</v>
      </c>
      <c r="AA11" s="82">
        <v>0.0094</v>
      </c>
      <c r="AB11" s="1"/>
      <c r="AC11" s="81">
        <v>397.0</v>
      </c>
      <c r="AD11" s="81">
        <v>0.0</v>
      </c>
      <c r="AE11" s="81">
        <v>0.0</v>
      </c>
      <c r="AF11" s="82">
        <v>0.0017</v>
      </c>
      <c r="AG11" s="83">
        <v>0.0</v>
      </c>
      <c r="AH11" s="83">
        <v>0.0</v>
      </c>
      <c r="AI11" s="81">
        <v>30031.0</v>
      </c>
      <c r="AJ11" s="81">
        <v>0.0</v>
      </c>
      <c r="AK11" s="81">
        <v>0.0</v>
      </c>
      <c r="AL11" s="82">
        <v>0.0017</v>
      </c>
      <c r="AM11" s="83">
        <v>0.0</v>
      </c>
      <c r="AN11" s="83">
        <v>0.0</v>
      </c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4"/>
      <c r="CO11" s="84"/>
      <c r="CP11" s="84"/>
      <c r="CQ11" s="84"/>
      <c r="CR11" s="84"/>
      <c r="CS11" s="84"/>
      <c r="CT11" s="84"/>
      <c r="CU11" s="84"/>
      <c r="CV11" s="84"/>
      <c r="CW11" s="84"/>
      <c r="CX11" s="84"/>
      <c r="CY11" s="84"/>
      <c r="CZ11" s="84"/>
      <c r="DA11" s="84"/>
      <c r="DB11" s="84"/>
      <c r="DC11" s="84"/>
      <c r="DD11" s="84"/>
      <c r="DE11" s="84"/>
      <c r="DF11" s="84"/>
      <c r="DG11" s="84"/>
      <c r="DH11" s="84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</row>
    <row r="13">
      <c r="A13" s="1"/>
      <c r="B13" s="2" t="str">
        <f>B1</f>
        <v>총정지(10.31)</v>
      </c>
      <c r="N13" s="1"/>
      <c r="O13" s="1"/>
      <c r="P13" s="3" t="s">
        <v>1</v>
      </c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</row>
    <row r="14">
      <c r="A14" s="1"/>
      <c r="B14" s="7" t="s">
        <v>4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9"/>
      <c r="N14" s="1"/>
      <c r="O14" s="1"/>
      <c r="P14" s="10" t="s">
        <v>5</v>
      </c>
      <c r="Q14" s="8"/>
      <c r="R14" s="8"/>
      <c r="S14" s="8"/>
      <c r="T14" s="8"/>
      <c r="U14" s="8"/>
      <c r="V14" s="8"/>
      <c r="W14" s="8"/>
      <c r="X14" s="8"/>
      <c r="Y14" s="8"/>
      <c r="Z14" s="8"/>
      <c r="AA14" s="9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</row>
    <row r="15">
      <c r="A15" s="85"/>
      <c r="B15" s="14" t="s">
        <v>9</v>
      </c>
      <c r="C15" s="9"/>
      <c r="D15" s="14" t="s">
        <v>10</v>
      </c>
      <c r="E15" s="9"/>
      <c r="F15" s="14" t="s">
        <v>11</v>
      </c>
      <c r="G15" s="9"/>
      <c r="H15" s="15" t="s">
        <v>9</v>
      </c>
      <c r="I15" s="9"/>
      <c r="J15" s="15" t="s">
        <v>10</v>
      </c>
      <c r="K15" s="9"/>
      <c r="L15" s="15" t="s">
        <v>12</v>
      </c>
      <c r="M15" s="9"/>
      <c r="N15" s="1"/>
      <c r="O15" s="85"/>
      <c r="P15" s="16" t="s">
        <v>9</v>
      </c>
      <c r="Q15" s="16" t="s">
        <v>10</v>
      </c>
      <c r="R15" s="16" t="s">
        <v>11</v>
      </c>
      <c r="S15" s="17" t="s">
        <v>9</v>
      </c>
      <c r="T15" s="17" t="s">
        <v>10</v>
      </c>
      <c r="U15" s="17" t="s">
        <v>12</v>
      </c>
      <c r="V15" s="16" t="s">
        <v>9</v>
      </c>
      <c r="W15" s="16" t="s">
        <v>10</v>
      </c>
      <c r="X15" s="16" t="s">
        <v>11</v>
      </c>
      <c r="Y15" s="17" t="s">
        <v>9</v>
      </c>
      <c r="Z15" s="17" t="s">
        <v>10</v>
      </c>
      <c r="AA15" s="17" t="s">
        <v>12</v>
      </c>
      <c r="AB15" s="1"/>
      <c r="AC15" s="16" t="s">
        <v>9</v>
      </c>
      <c r="AD15" s="16" t="s">
        <v>10</v>
      </c>
      <c r="AE15" s="16" t="s">
        <v>11</v>
      </c>
      <c r="AF15" s="17" t="s">
        <v>9</v>
      </c>
      <c r="AG15" s="17" t="s">
        <v>10</v>
      </c>
      <c r="AH15" s="17" t="s">
        <v>12</v>
      </c>
      <c r="AI15" s="16" t="s">
        <v>9</v>
      </c>
      <c r="AJ15" s="16" t="s">
        <v>10</v>
      </c>
      <c r="AK15" s="16" t="s">
        <v>11</v>
      </c>
      <c r="AL15" s="17" t="s">
        <v>9</v>
      </c>
      <c r="AM15" s="17" t="s">
        <v>10</v>
      </c>
      <c r="AN15" s="17" t="s">
        <v>12</v>
      </c>
      <c r="AO15" s="86"/>
      <c r="AP15" s="86"/>
      <c r="AQ15" s="86"/>
      <c r="AR15" s="86"/>
      <c r="AS15" s="86"/>
      <c r="AT15" s="86"/>
      <c r="AU15" s="86"/>
      <c r="AV15" s="86"/>
      <c r="AW15" s="86"/>
      <c r="AX15" s="86"/>
      <c r="AY15" s="86"/>
      <c r="AZ15" s="86"/>
      <c r="BA15" s="86"/>
      <c r="BB15" s="86"/>
      <c r="BC15" s="86"/>
      <c r="BD15" s="86"/>
      <c r="BE15" s="86"/>
      <c r="BF15" s="86"/>
      <c r="BG15" s="86"/>
      <c r="BH15" s="86"/>
      <c r="BI15" s="86"/>
      <c r="BJ15" s="86"/>
      <c r="BK15" s="86"/>
      <c r="BL15" s="86"/>
      <c r="BM15" s="86"/>
      <c r="BN15" s="86"/>
      <c r="BO15" s="86"/>
      <c r="BP15" s="86"/>
      <c r="BQ15" s="86"/>
      <c r="BR15" s="86"/>
      <c r="BS15" s="86"/>
      <c r="BT15" s="86"/>
      <c r="BU15" s="86"/>
      <c r="BV15" s="86"/>
      <c r="BW15" s="86"/>
      <c r="BX15" s="86"/>
      <c r="BY15" s="86"/>
      <c r="BZ15" s="86"/>
      <c r="CA15" s="86"/>
      <c r="CB15" s="86"/>
      <c r="CC15" s="86"/>
      <c r="CD15" s="86"/>
      <c r="CE15" s="86"/>
      <c r="CF15" s="86"/>
      <c r="CG15" s="86"/>
      <c r="CH15" s="86"/>
      <c r="CI15" s="86"/>
      <c r="CJ15" s="86"/>
      <c r="CK15" s="86"/>
      <c r="CL15" s="86"/>
      <c r="CM15" s="86"/>
      <c r="CN15" s="86"/>
      <c r="CO15" s="86"/>
      <c r="CP15" s="86"/>
      <c r="CQ15" s="86"/>
      <c r="CR15" s="86"/>
      <c r="CS15" s="86"/>
      <c r="CT15" s="86"/>
      <c r="CU15" s="86"/>
      <c r="CV15" s="86"/>
      <c r="CW15" s="86"/>
      <c r="CX15" s="86"/>
      <c r="CY15" s="86"/>
      <c r="CZ15" s="86"/>
      <c r="DA15" s="86"/>
      <c r="DB15" s="86"/>
      <c r="DC15" s="86"/>
      <c r="DD15" s="86"/>
      <c r="DE15" s="86"/>
      <c r="DF15" s="86"/>
      <c r="DG15" s="86"/>
      <c r="DH15" s="86"/>
    </row>
    <row r="16">
      <c r="A16" s="20" t="s">
        <v>15</v>
      </c>
      <c r="B16" s="21" t="s">
        <v>16</v>
      </c>
      <c r="C16" s="21" t="s">
        <v>17</v>
      </c>
      <c r="D16" s="21" t="s">
        <v>18</v>
      </c>
      <c r="E16" s="21" t="s">
        <v>19</v>
      </c>
      <c r="F16" s="21" t="s">
        <v>20</v>
      </c>
      <c r="G16" s="21" t="s">
        <v>21</v>
      </c>
      <c r="H16" s="21" t="s">
        <v>22</v>
      </c>
      <c r="I16" s="21" t="s">
        <v>23</v>
      </c>
      <c r="J16" s="21" t="s">
        <v>24</v>
      </c>
      <c r="K16" s="21" t="s">
        <v>25</v>
      </c>
      <c r="L16" s="21" t="s">
        <v>26</v>
      </c>
      <c r="M16" s="21" t="s">
        <v>27</v>
      </c>
      <c r="N16" s="1"/>
      <c r="O16" s="20" t="s">
        <v>15</v>
      </c>
      <c r="P16" s="21" t="s">
        <v>16</v>
      </c>
      <c r="Q16" s="21" t="s">
        <v>17</v>
      </c>
      <c r="R16" s="21" t="s">
        <v>18</v>
      </c>
      <c r="S16" s="21" t="s">
        <v>19</v>
      </c>
      <c r="T16" s="21" t="s">
        <v>20</v>
      </c>
      <c r="U16" s="21" t="s">
        <v>21</v>
      </c>
      <c r="V16" s="21" t="s">
        <v>22</v>
      </c>
      <c r="W16" s="21" t="s">
        <v>23</v>
      </c>
      <c r="X16" s="21" t="s">
        <v>24</v>
      </c>
      <c r="Y16" s="21" t="s">
        <v>25</v>
      </c>
      <c r="Z16" s="21" t="s">
        <v>26</v>
      </c>
      <c r="AA16" s="21" t="s">
        <v>27</v>
      </c>
      <c r="AB16" s="1"/>
      <c r="AC16" s="21" t="s">
        <v>16</v>
      </c>
      <c r="AD16" s="21" t="s">
        <v>17</v>
      </c>
      <c r="AE16" s="21" t="s">
        <v>18</v>
      </c>
      <c r="AF16" s="21" t="s">
        <v>19</v>
      </c>
      <c r="AG16" s="21" t="s">
        <v>20</v>
      </c>
      <c r="AH16" s="21" t="s">
        <v>21</v>
      </c>
      <c r="AI16" s="21" t="s">
        <v>22</v>
      </c>
      <c r="AJ16" s="21" t="s">
        <v>23</v>
      </c>
      <c r="AK16" s="21" t="s">
        <v>24</v>
      </c>
      <c r="AL16" s="21" t="s">
        <v>25</v>
      </c>
      <c r="AM16" s="21" t="s">
        <v>26</v>
      </c>
      <c r="AN16" s="21" t="s">
        <v>27</v>
      </c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  <c r="BM16" s="22"/>
      <c r="BN16" s="22"/>
      <c r="BO16" s="22"/>
      <c r="BP16" s="22"/>
      <c r="BQ16" s="22"/>
      <c r="BR16" s="22"/>
      <c r="BS16" s="22"/>
      <c r="BT16" s="22"/>
      <c r="BU16" s="22"/>
      <c r="BV16" s="22"/>
      <c r="BW16" s="22"/>
      <c r="BX16" s="22"/>
      <c r="BY16" s="22"/>
      <c r="BZ16" s="22"/>
      <c r="CA16" s="22"/>
      <c r="CB16" s="22"/>
      <c r="CC16" s="22"/>
      <c r="CD16" s="22"/>
      <c r="CE16" s="22"/>
      <c r="CF16" s="22"/>
      <c r="CG16" s="22"/>
      <c r="CH16" s="22"/>
      <c r="CI16" s="22"/>
      <c r="CJ16" s="22"/>
      <c r="CK16" s="22"/>
      <c r="CL16" s="22"/>
      <c r="CM16" s="22"/>
      <c r="CN16" s="22"/>
      <c r="CO16" s="22"/>
      <c r="CP16" s="22"/>
      <c r="CQ16" s="22"/>
      <c r="CR16" s="22"/>
      <c r="CS16" s="22"/>
      <c r="CT16" s="22"/>
      <c r="CU16" s="22"/>
      <c r="CV16" s="22"/>
      <c r="CW16" s="22"/>
      <c r="CX16" s="22"/>
      <c r="CY16" s="22"/>
      <c r="CZ16" s="22"/>
      <c r="DA16" s="22"/>
      <c r="DB16" s="22"/>
      <c r="DC16" s="22"/>
      <c r="DD16" s="22"/>
      <c r="DE16" s="22"/>
      <c r="DF16" s="22"/>
      <c r="DG16" s="22"/>
      <c r="DH16" s="22"/>
    </row>
    <row r="17">
      <c r="A17" s="23" t="s">
        <v>35</v>
      </c>
      <c r="B17" s="87">
        <v>33.0</v>
      </c>
      <c r="C17" s="87">
        <v>37.0</v>
      </c>
      <c r="D17" s="87">
        <v>70.0</v>
      </c>
      <c r="E17" s="88">
        <v>0.0043</v>
      </c>
      <c r="F17" s="89">
        <v>0.0117</v>
      </c>
      <c r="G17" s="90">
        <v>0.0065</v>
      </c>
      <c r="H17" s="91">
        <v>3112.0</v>
      </c>
      <c r="I17" s="91">
        <v>1483.0</v>
      </c>
      <c r="J17" s="91">
        <v>4595.0</v>
      </c>
      <c r="K17" s="92">
        <v>0.0055</v>
      </c>
      <c r="L17" s="93">
        <v>0.0125</v>
      </c>
      <c r="M17" s="94">
        <v>0.0067</v>
      </c>
      <c r="N17" s="1"/>
      <c r="O17" s="23" t="s">
        <v>35</v>
      </c>
      <c r="P17" s="87">
        <v>27.0</v>
      </c>
      <c r="Q17" s="87">
        <v>28.0</v>
      </c>
      <c r="R17" s="87">
        <v>55.0</v>
      </c>
      <c r="S17" s="95">
        <v>0.0036</v>
      </c>
      <c r="T17" s="53">
        <v>0.0088</v>
      </c>
      <c r="U17" s="96">
        <v>0.0051</v>
      </c>
      <c r="V17" s="91">
        <v>2399.0</v>
      </c>
      <c r="W17" s="91">
        <v>1103.0</v>
      </c>
      <c r="X17" s="91">
        <v>3502.0</v>
      </c>
      <c r="Y17" s="97">
        <v>0.0042</v>
      </c>
      <c r="Z17" s="53">
        <v>0.0093</v>
      </c>
      <c r="AA17" s="98">
        <v>0.0051</v>
      </c>
      <c r="AB17" s="1"/>
      <c r="AC17" s="87">
        <v>5.0</v>
      </c>
      <c r="AD17" s="87">
        <v>0.0</v>
      </c>
      <c r="AE17" s="87">
        <v>0.0</v>
      </c>
      <c r="AF17" s="99">
        <v>0.0017</v>
      </c>
      <c r="AG17" s="37">
        <v>0.0</v>
      </c>
      <c r="AH17" s="37">
        <v>0.0</v>
      </c>
      <c r="AI17" s="87">
        <v>472.0</v>
      </c>
      <c r="AJ17" s="87">
        <v>0.0</v>
      </c>
      <c r="AK17" s="87">
        <v>0.0</v>
      </c>
      <c r="AL17" s="100">
        <v>8.0E-4</v>
      </c>
      <c r="AM17" s="37">
        <v>0.0</v>
      </c>
      <c r="AN17" s="37">
        <v>0.0</v>
      </c>
      <c r="AO17" s="101"/>
      <c r="AP17" s="101"/>
      <c r="AQ17" s="101"/>
      <c r="AR17" s="101"/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101"/>
      <c r="BE17" s="101"/>
      <c r="BF17" s="101"/>
      <c r="BG17" s="101"/>
      <c r="BH17" s="101"/>
      <c r="BI17" s="101"/>
      <c r="BJ17" s="101"/>
      <c r="BK17" s="101"/>
      <c r="BL17" s="101"/>
      <c r="BM17" s="101"/>
      <c r="BN17" s="101"/>
      <c r="BO17" s="101"/>
      <c r="BP17" s="101"/>
      <c r="BQ17" s="101"/>
      <c r="BR17" s="101"/>
      <c r="BS17" s="101"/>
      <c r="BT17" s="101"/>
      <c r="BU17" s="101"/>
      <c r="BV17" s="101"/>
      <c r="BW17" s="101"/>
      <c r="BX17" s="101"/>
      <c r="BY17" s="101"/>
      <c r="BZ17" s="101"/>
      <c r="CA17" s="101"/>
      <c r="CB17" s="101"/>
      <c r="CC17" s="101"/>
      <c r="CD17" s="101"/>
      <c r="CE17" s="101"/>
      <c r="CF17" s="101"/>
      <c r="CG17" s="101"/>
      <c r="CH17" s="101"/>
      <c r="CI17" s="101"/>
      <c r="CJ17" s="101"/>
      <c r="CK17" s="101"/>
      <c r="CL17" s="101"/>
      <c r="CM17" s="101"/>
      <c r="CN17" s="101"/>
      <c r="CO17" s="101"/>
      <c r="CP17" s="101"/>
      <c r="CQ17" s="101"/>
      <c r="CR17" s="101"/>
      <c r="CS17" s="101"/>
      <c r="CT17" s="101"/>
      <c r="CU17" s="101"/>
      <c r="CV17" s="101"/>
      <c r="CW17" s="101"/>
      <c r="CX17" s="101"/>
      <c r="CY17" s="101"/>
      <c r="CZ17" s="101"/>
      <c r="DA17" s="101"/>
      <c r="DB17" s="101"/>
      <c r="DC17" s="101"/>
      <c r="DD17" s="101"/>
      <c r="DE17" s="101"/>
      <c r="DF17" s="101"/>
      <c r="DG17" s="101"/>
      <c r="DH17" s="101"/>
    </row>
    <row r="18">
      <c r="A18" s="23" t="s">
        <v>36</v>
      </c>
      <c r="B18" s="87">
        <v>55.0</v>
      </c>
      <c r="C18" s="87">
        <v>79.0</v>
      </c>
      <c r="D18" s="87">
        <v>134.0</v>
      </c>
      <c r="E18" s="102">
        <v>0.0067</v>
      </c>
      <c r="F18" s="103">
        <v>0.0224</v>
      </c>
      <c r="G18" s="104">
        <v>0.0114</v>
      </c>
      <c r="H18" s="91">
        <v>4492.0</v>
      </c>
      <c r="I18" s="91">
        <v>2547.0</v>
      </c>
      <c r="J18" s="91">
        <v>7039.0</v>
      </c>
      <c r="K18" s="105">
        <v>0.0091</v>
      </c>
      <c r="L18" s="106">
        <v>0.0222</v>
      </c>
      <c r="M18" s="107">
        <v>0.0116</v>
      </c>
      <c r="N18" s="1"/>
      <c r="O18" s="23" t="s">
        <v>36</v>
      </c>
      <c r="P18" s="87">
        <v>50.0</v>
      </c>
      <c r="Q18" s="87">
        <v>64.0</v>
      </c>
      <c r="R18" s="87">
        <v>114.0</v>
      </c>
      <c r="S18" s="108">
        <v>0.006</v>
      </c>
      <c r="T18" s="96">
        <v>0.0182</v>
      </c>
      <c r="U18" s="49">
        <v>0.0097</v>
      </c>
      <c r="V18" s="91">
        <v>2742.0</v>
      </c>
      <c r="W18" s="91">
        <v>2034.0</v>
      </c>
      <c r="X18" s="91">
        <v>4776.0</v>
      </c>
      <c r="Y18" s="109">
        <v>0.0056</v>
      </c>
      <c r="Z18" s="110">
        <v>0.0178</v>
      </c>
      <c r="AA18" s="111">
        <v>0.0079</v>
      </c>
      <c r="AB18" s="1"/>
      <c r="AC18" s="87">
        <v>13.0</v>
      </c>
      <c r="AD18" s="87">
        <v>0.0</v>
      </c>
      <c r="AE18" s="87">
        <v>0.0</v>
      </c>
      <c r="AF18" s="35">
        <v>0.0017</v>
      </c>
      <c r="AG18" s="37">
        <v>0.0</v>
      </c>
      <c r="AH18" s="37">
        <v>0.0</v>
      </c>
      <c r="AI18" s="87">
        <v>764.0</v>
      </c>
      <c r="AJ18" s="87">
        <v>0.0</v>
      </c>
      <c r="AK18" s="87">
        <v>0.0</v>
      </c>
      <c r="AL18" s="27">
        <v>0.0016</v>
      </c>
      <c r="AM18" s="37">
        <v>0.0</v>
      </c>
      <c r="AN18" s="37">
        <v>0.0</v>
      </c>
      <c r="AO18" s="101"/>
      <c r="AP18" s="101"/>
      <c r="AQ18" s="101"/>
      <c r="AR18" s="101"/>
      <c r="AS18" s="101"/>
      <c r="AT18" s="101"/>
      <c r="AU18" s="101"/>
      <c r="AV18" s="101"/>
      <c r="AW18" s="101"/>
      <c r="AX18" s="101"/>
      <c r="AY18" s="101"/>
      <c r="AZ18" s="101"/>
      <c r="BA18" s="101"/>
      <c r="BB18" s="101"/>
      <c r="BC18" s="101"/>
      <c r="BD18" s="101"/>
      <c r="BE18" s="101"/>
      <c r="BF18" s="101"/>
      <c r="BG18" s="101"/>
      <c r="BH18" s="101"/>
      <c r="BI18" s="101"/>
      <c r="BJ18" s="101"/>
      <c r="BK18" s="101"/>
      <c r="BL18" s="101"/>
      <c r="BM18" s="101"/>
      <c r="BN18" s="101"/>
      <c r="BO18" s="101"/>
      <c r="BP18" s="101"/>
      <c r="BQ18" s="101"/>
      <c r="BR18" s="101"/>
      <c r="BS18" s="101"/>
      <c r="BT18" s="101"/>
      <c r="BU18" s="101"/>
      <c r="BV18" s="101"/>
      <c r="BW18" s="101"/>
      <c r="BX18" s="101"/>
      <c r="BY18" s="101"/>
      <c r="BZ18" s="101"/>
      <c r="CA18" s="101"/>
      <c r="CB18" s="101"/>
      <c r="CC18" s="101"/>
      <c r="CD18" s="101"/>
      <c r="CE18" s="101"/>
      <c r="CF18" s="101"/>
      <c r="CG18" s="101"/>
      <c r="CH18" s="101"/>
      <c r="CI18" s="101"/>
      <c r="CJ18" s="101"/>
      <c r="CK18" s="101"/>
      <c r="CL18" s="101"/>
      <c r="CM18" s="101"/>
      <c r="CN18" s="101"/>
      <c r="CO18" s="101"/>
      <c r="CP18" s="101"/>
      <c r="CQ18" s="101"/>
      <c r="CR18" s="101"/>
      <c r="CS18" s="101"/>
      <c r="CT18" s="101"/>
      <c r="CU18" s="101"/>
      <c r="CV18" s="101"/>
      <c r="CW18" s="101"/>
      <c r="CX18" s="101"/>
      <c r="CY18" s="101"/>
      <c r="CZ18" s="101"/>
      <c r="DA18" s="101"/>
      <c r="DB18" s="101"/>
      <c r="DC18" s="101"/>
      <c r="DD18" s="101"/>
      <c r="DE18" s="101"/>
      <c r="DF18" s="101"/>
      <c r="DG18" s="101"/>
      <c r="DH18" s="101"/>
    </row>
    <row r="19">
      <c r="A19" s="23" t="s">
        <v>37</v>
      </c>
      <c r="B19" s="87">
        <v>47.0</v>
      </c>
      <c r="C19" s="87">
        <v>56.0</v>
      </c>
      <c r="D19" s="87">
        <v>103.0</v>
      </c>
      <c r="E19" s="104">
        <v>0.0076</v>
      </c>
      <c r="F19" s="112">
        <v>0.02</v>
      </c>
      <c r="G19" s="61">
        <v>0.0114</v>
      </c>
      <c r="H19" s="91">
        <v>3524.0</v>
      </c>
      <c r="I19" s="91">
        <v>1767.0</v>
      </c>
      <c r="J19" s="91">
        <v>5290.0</v>
      </c>
      <c r="K19" s="113">
        <v>0.0086</v>
      </c>
      <c r="L19" s="114">
        <v>0.0191</v>
      </c>
      <c r="M19" s="113">
        <v>0.0105</v>
      </c>
      <c r="N19" s="1"/>
      <c r="O19" s="23" t="s">
        <v>37</v>
      </c>
      <c r="P19" s="87">
        <v>42.0</v>
      </c>
      <c r="Q19" s="87">
        <v>48.0</v>
      </c>
      <c r="R19" s="87">
        <v>90.0</v>
      </c>
      <c r="S19" s="55">
        <v>0.0068</v>
      </c>
      <c r="T19" s="115">
        <v>0.0171</v>
      </c>
      <c r="U19" s="116">
        <v>0.01</v>
      </c>
      <c r="V19" s="91">
        <v>2847.0</v>
      </c>
      <c r="W19" s="91">
        <v>1540.0</v>
      </c>
      <c r="X19" s="91">
        <v>4387.0</v>
      </c>
      <c r="Y19" s="117">
        <v>0.0069</v>
      </c>
      <c r="Z19" s="106">
        <v>0.0167</v>
      </c>
      <c r="AA19" s="118">
        <v>0.0087</v>
      </c>
      <c r="AB19" s="1"/>
      <c r="AC19" s="87">
        <v>11.0</v>
      </c>
      <c r="AD19" s="87">
        <v>0.0</v>
      </c>
      <c r="AE19" s="87">
        <v>0.0</v>
      </c>
      <c r="AF19" s="119">
        <v>0.0017</v>
      </c>
      <c r="AG19" s="37">
        <v>0.0</v>
      </c>
      <c r="AH19" s="37">
        <v>0.0</v>
      </c>
      <c r="AI19" s="87">
        <v>625.0</v>
      </c>
      <c r="AJ19" s="87">
        <v>0.0</v>
      </c>
      <c r="AK19" s="87">
        <v>0.0</v>
      </c>
      <c r="AL19" s="93">
        <v>0.0015</v>
      </c>
      <c r="AM19" s="37">
        <v>0.0</v>
      </c>
      <c r="AN19" s="37">
        <v>0.0</v>
      </c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1"/>
      <c r="BG19" s="101"/>
      <c r="BH19" s="101"/>
      <c r="BI19" s="101"/>
      <c r="BJ19" s="101"/>
      <c r="BK19" s="101"/>
      <c r="BL19" s="101"/>
      <c r="BM19" s="101"/>
      <c r="BN19" s="101"/>
      <c r="BO19" s="101"/>
      <c r="BP19" s="101"/>
      <c r="BQ19" s="101"/>
      <c r="BR19" s="101"/>
      <c r="BS19" s="101"/>
      <c r="BT19" s="101"/>
      <c r="BU19" s="101"/>
      <c r="BV19" s="101"/>
      <c r="BW19" s="101"/>
      <c r="BX19" s="101"/>
      <c r="BY19" s="101"/>
      <c r="BZ19" s="101"/>
      <c r="CA19" s="101"/>
      <c r="CB19" s="101"/>
      <c r="CC19" s="101"/>
      <c r="CD19" s="101"/>
      <c r="CE19" s="101"/>
      <c r="CF19" s="101"/>
      <c r="CG19" s="101"/>
      <c r="CH19" s="101"/>
      <c r="CI19" s="101"/>
      <c r="CJ19" s="101"/>
      <c r="CK19" s="101"/>
      <c r="CL19" s="101"/>
      <c r="CM19" s="101"/>
      <c r="CN19" s="101"/>
      <c r="CO19" s="101"/>
      <c r="CP19" s="101"/>
      <c r="CQ19" s="101"/>
      <c r="CR19" s="101"/>
      <c r="CS19" s="101"/>
      <c r="CT19" s="101"/>
      <c r="CU19" s="101"/>
      <c r="CV19" s="101"/>
      <c r="CW19" s="101"/>
      <c r="CX19" s="101"/>
      <c r="CY19" s="101"/>
      <c r="CZ19" s="101"/>
      <c r="DA19" s="101"/>
      <c r="DB19" s="101"/>
      <c r="DC19" s="101"/>
      <c r="DD19" s="101"/>
      <c r="DE19" s="101"/>
      <c r="DF19" s="101"/>
      <c r="DG19" s="101"/>
      <c r="DH19" s="101"/>
    </row>
    <row r="20">
      <c r="A20" s="23" t="s">
        <v>38</v>
      </c>
      <c r="B20" s="87">
        <v>52.0</v>
      </c>
      <c r="C20" s="87">
        <v>70.0</v>
      </c>
      <c r="D20" s="87">
        <v>122.0</v>
      </c>
      <c r="E20" s="120">
        <v>0.0087</v>
      </c>
      <c r="F20" s="56">
        <v>0.0238</v>
      </c>
      <c r="G20" s="121">
        <v>0.0137</v>
      </c>
      <c r="H20" s="91">
        <v>3379.0</v>
      </c>
      <c r="I20" s="91">
        <v>2533.0</v>
      </c>
      <c r="J20" s="91">
        <v>5912.0</v>
      </c>
      <c r="K20" s="107">
        <v>0.0089</v>
      </c>
      <c r="L20" s="122">
        <v>0.0266</v>
      </c>
      <c r="M20" s="123">
        <v>0.0125</v>
      </c>
      <c r="N20" s="1"/>
      <c r="O20" s="23" t="s">
        <v>38</v>
      </c>
      <c r="P20" s="87">
        <v>47.0</v>
      </c>
      <c r="Q20" s="87">
        <v>60.0</v>
      </c>
      <c r="R20" s="87">
        <v>107.0</v>
      </c>
      <c r="S20" s="53">
        <v>0.0079</v>
      </c>
      <c r="T20" s="69">
        <v>0.0204</v>
      </c>
      <c r="U20" s="124">
        <v>0.012</v>
      </c>
      <c r="V20" s="91">
        <v>3051.0</v>
      </c>
      <c r="W20" s="91">
        <v>2148.0</v>
      </c>
      <c r="X20" s="91">
        <v>5199.0</v>
      </c>
      <c r="Y20" s="53">
        <v>0.008</v>
      </c>
      <c r="Z20" s="69">
        <v>0.0226</v>
      </c>
      <c r="AA20" s="53">
        <v>0.011</v>
      </c>
      <c r="AB20" s="1"/>
      <c r="AC20" s="87">
        <v>7.0</v>
      </c>
      <c r="AD20" s="87">
        <v>0.0</v>
      </c>
      <c r="AE20" s="87">
        <v>0.0</v>
      </c>
      <c r="AF20" s="125">
        <v>0.0017</v>
      </c>
      <c r="AG20" s="37">
        <v>0.0</v>
      </c>
      <c r="AH20" s="37">
        <v>0.0</v>
      </c>
      <c r="AI20" s="87">
        <v>378.0</v>
      </c>
      <c r="AJ20" s="87">
        <v>0.0</v>
      </c>
      <c r="AK20" s="87">
        <v>0.0</v>
      </c>
      <c r="AL20" s="104">
        <v>0.001</v>
      </c>
      <c r="AM20" s="37">
        <v>0.0</v>
      </c>
      <c r="AN20" s="37">
        <v>0.0</v>
      </c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  <c r="CU20" s="101"/>
      <c r="CV20" s="101"/>
      <c r="CW20" s="101"/>
      <c r="CX20" s="101"/>
      <c r="CY20" s="101"/>
      <c r="CZ20" s="101"/>
      <c r="DA20" s="101"/>
      <c r="DB20" s="101"/>
      <c r="DC20" s="101"/>
      <c r="DD20" s="101"/>
      <c r="DE20" s="101"/>
      <c r="DF20" s="101"/>
      <c r="DG20" s="101"/>
      <c r="DH20" s="101"/>
    </row>
    <row r="21">
      <c r="A21" s="23" t="s">
        <v>39</v>
      </c>
      <c r="B21" s="87">
        <v>30.0</v>
      </c>
      <c r="C21" s="87">
        <v>66.0</v>
      </c>
      <c r="D21" s="87">
        <v>96.0</v>
      </c>
      <c r="E21" s="126">
        <v>0.0045</v>
      </c>
      <c r="F21" s="35">
        <v>0.0162</v>
      </c>
      <c r="G21" s="127">
        <v>0.0089</v>
      </c>
      <c r="H21" s="91">
        <v>1992.0</v>
      </c>
      <c r="I21" s="91">
        <v>2354.0</v>
      </c>
      <c r="J21" s="91">
        <v>4346.0</v>
      </c>
      <c r="K21" s="111">
        <v>0.0042</v>
      </c>
      <c r="L21" s="104">
        <v>0.017</v>
      </c>
      <c r="M21" s="128">
        <v>0.0071</v>
      </c>
      <c r="N21" s="1"/>
      <c r="O21" s="23" t="s">
        <v>39</v>
      </c>
      <c r="P21" s="87">
        <v>28.0</v>
      </c>
      <c r="Q21" s="87">
        <v>55.0</v>
      </c>
      <c r="R21" s="87">
        <v>83.0</v>
      </c>
      <c r="S21" s="69">
        <v>0.0042</v>
      </c>
      <c r="T21" s="129">
        <v>0.0135</v>
      </c>
      <c r="U21" s="69">
        <v>0.0077</v>
      </c>
      <c r="V21" s="91">
        <v>1710.0</v>
      </c>
      <c r="W21" s="91">
        <v>2056.0</v>
      </c>
      <c r="X21" s="91">
        <v>3766.0</v>
      </c>
      <c r="Y21" s="130">
        <v>0.0036</v>
      </c>
      <c r="Z21" s="70">
        <v>0.0149</v>
      </c>
      <c r="AA21" s="131">
        <v>0.0062</v>
      </c>
      <c r="AB21" s="1"/>
      <c r="AC21" s="87">
        <v>4.0</v>
      </c>
      <c r="AD21" s="87">
        <v>0.0</v>
      </c>
      <c r="AE21" s="87">
        <v>0.0</v>
      </c>
      <c r="AF21" s="132">
        <v>0.0017</v>
      </c>
      <c r="AG21" s="37">
        <v>0.0</v>
      </c>
      <c r="AH21" s="37">
        <v>0.0</v>
      </c>
      <c r="AI21" s="87">
        <v>330.0</v>
      </c>
      <c r="AJ21" s="87">
        <v>0.0</v>
      </c>
      <c r="AK21" s="87">
        <v>0.0</v>
      </c>
      <c r="AL21" s="133">
        <v>7.0E-4</v>
      </c>
      <c r="AM21" s="37">
        <v>0.0</v>
      </c>
      <c r="AN21" s="37">
        <v>0.0</v>
      </c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101"/>
      <c r="BK21" s="101"/>
      <c r="BL21" s="101"/>
      <c r="BM21" s="101"/>
      <c r="BN21" s="101"/>
      <c r="BO21" s="101"/>
      <c r="BP21" s="101"/>
      <c r="BQ21" s="101"/>
      <c r="BR21" s="101"/>
      <c r="BS21" s="101"/>
      <c r="BT21" s="101"/>
      <c r="BU21" s="101"/>
      <c r="BV21" s="101"/>
      <c r="BW21" s="101"/>
      <c r="BX21" s="101"/>
      <c r="BY21" s="101"/>
      <c r="BZ21" s="101"/>
      <c r="CA21" s="101"/>
      <c r="CB21" s="101"/>
      <c r="CC21" s="101"/>
      <c r="CD21" s="101"/>
      <c r="CE21" s="101"/>
      <c r="CF21" s="101"/>
      <c r="CG21" s="101"/>
      <c r="CH21" s="101"/>
      <c r="CI21" s="101"/>
      <c r="CJ21" s="101"/>
      <c r="CK21" s="101"/>
      <c r="CL21" s="101"/>
      <c r="CM21" s="101"/>
      <c r="CN21" s="101"/>
      <c r="CO21" s="101"/>
      <c r="CP21" s="101"/>
      <c r="CQ21" s="101"/>
      <c r="CR21" s="101"/>
      <c r="CS21" s="101"/>
      <c r="CT21" s="101"/>
      <c r="CU21" s="101"/>
      <c r="CV21" s="101"/>
      <c r="CW21" s="101"/>
      <c r="CX21" s="101"/>
      <c r="CY21" s="101"/>
      <c r="CZ21" s="101"/>
      <c r="DA21" s="101"/>
      <c r="DB21" s="101"/>
      <c r="DC21" s="101"/>
      <c r="DD21" s="101"/>
      <c r="DE21" s="101"/>
      <c r="DF21" s="101"/>
      <c r="DG21" s="101"/>
      <c r="DH21" s="101"/>
    </row>
    <row r="22">
      <c r="A22" s="23" t="s">
        <v>40</v>
      </c>
      <c r="B22" s="87">
        <v>55.0</v>
      </c>
      <c r="C22" s="87">
        <v>128.0</v>
      </c>
      <c r="D22" s="87">
        <v>183.0</v>
      </c>
      <c r="E22" s="47">
        <v>0.0076</v>
      </c>
      <c r="F22" s="134">
        <v>0.0307</v>
      </c>
      <c r="G22" s="135">
        <v>0.0161</v>
      </c>
      <c r="H22" s="91">
        <v>4403.0</v>
      </c>
      <c r="I22" s="91">
        <v>5160.0</v>
      </c>
      <c r="J22" s="91">
        <v>9562.0</v>
      </c>
      <c r="K22" s="53">
        <v>0.0091</v>
      </c>
      <c r="L22" s="136">
        <v>0.0372</v>
      </c>
      <c r="M22" s="137">
        <v>0.0154</v>
      </c>
      <c r="N22" s="1"/>
      <c r="O22" s="23" t="s">
        <v>40</v>
      </c>
      <c r="P22" s="87">
        <v>50.0</v>
      </c>
      <c r="Q22" s="87">
        <v>117.0</v>
      </c>
      <c r="R22" s="87">
        <v>167.0</v>
      </c>
      <c r="S22" s="138">
        <v>0.0069</v>
      </c>
      <c r="T22" s="53">
        <v>0.0281</v>
      </c>
      <c r="U22" s="35">
        <v>0.0147</v>
      </c>
      <c r="V22" s="91">
        <v>4084.0</v>
      </c>
      <c r="W22" s="91">
        <v>4365.0</v>
      </c>
      <c r="X22" s="91">
        <v>8449.0</v>
      </c>
      <c r="Y22" s="139">
        <v>0.0085</v>
      </c>
      <c r="Z22" s="53">
        <v>0.0315</v>
      </c>
      <c r="AA22" s="126">
        <v>0.0136</v>
      </c>
      <c r="AB22" s="1"/>
      <c r="AC22" s="87">
        <v>11.0</v>
      </c>
      <c r="AD22" s="87">
        <v>0.0</v>
      </c>
      <c r="AE22" s="87">
        <v>0.0</v>
      </c>
      <c r="AF22" s="140">
        <v>0.0017</v>
      </c>
      <c r="AG22" s="37">
        <v>0.0</v>
      </c>
      <c r="AH22" s="37">
        <v>0.0</v>
      </c>
      <c r="AI22" s="87">
        <v>636.0</v>
      </c>
      <c r="AJ22" s="87">
        <v>0.0</v>
      </c>
      <c r="AK22" s="87">
        <v>0.0</v>
      </c>
      <c r="AL22" s="141">
        <v>0.0013</v>
      </c>
      <c r="AM22" s="37">
        <v>0.0</v>
      </c>
      <c r="AN22" s="37">
        <v>0.0</v>
      </c>
      <c r="AO22" s="101"/>
      <c r="AP22" s="101"/>
      <c r="AQ22" s="101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01"/>
      <c r="CC22" s="101"/>
      <c r="CD22" s="101"/>
      <c r="CE22" s="101"/>
      <c r="CF22" s="101"/>
      <c r="CG22" s="101"/>
      <c r="CH22" s="101"/>
      <c r="CI22" s="101"/>
      <c r="CJ22" s="101"/>
      <c r="CK22" s="101"/>
      <c r="CL22" s="101"/>
      <c r="CM22" s="101"/>
      <c r="CN22" s="101"/>
      <c r="CO22" s="101"/>
      <c r="CP22" s="101"/>
      <c r="CQ22" s="101"/>
      <c r="CR22" s="101"/>
      <c r="CS22" s="101"/>
      <c r="CT22" s="101"/>
      <c r="CU22" s="101"/>
      <c r="CV22" s="101"/>
      <c r="CW22" s="101"/>
      <c r="CX22" s="101"/>
      <c r="CY22" s="101"/>
      <c r="CZ22" s="101"/>
      <c r="DA22" s="101"/>
      <c r="DB22" s="101"/>
      <c r="DC22" s="101"/>
      <c r="DD22" s="101"/>
      <c r="DE22" s="101"/>
      <c r="DF22" s="101"/>
      <c r="DG22" s="101"/>
      <c r="DH22" s="101"/>
    </row>
    <row r="23">
      <c r="A23" s="23" t="s">
        <v>41</v>
      </c>
      <c r="B23" s="87">
        <v>48.0</v>
      </c>
      <c r="C23" s="87">
        <v>24.0</v>
      </c>
      <c r="D23" s="87">
        <v>72.0</v>
      </c>
      <c r="E23" s="142">
        <v>0.0063</v>
      </c>
      <c r="F23" s="143">
        <v>0.0075</v>
      </c>
      <c r="G23" s="144">
        <v>0.0066</v>
      </c>
      <c r="H23" s="91">
        <v>7407.0</v>
      </c>
      <c r="I23" s="87">
        <v>998.0</v>
      </c>
      <c r="J23" s="91">
        <v>8404.0</v>
      </c>
      <c r="K23" s="145">
        <v>0.0142</v>
      </c>
      <c r="L23" s="146">
        <v>0.0096</v>
      </c>
      <c r="M23" s="147">
        <v>0.0134</v>
      </c>
      <c r="N23" s="1"/>
      <c r="O23" s="23" t="s">
        <v>41</v>
      </c>
      <c r="P23" s="87">
        <v>46.0</v>
      </c>
      <c r="Q23" s="87">
        <v>20.0</v>
      </c>
      <c r="R23" s="87">
        <v>66.0</v>
      </c>
      <c r="S23" s="34">
        <v>0.006</v>
      </c>
      <c r="T23" s="104">
        <v>0.0062</v>
      </c>
      <c r="U23" s="148">
        <v>0.0061</v>
      </c>
      <c r="V23" s="91">
        <v>6332.0</v>
      </c>
      <c r="W23" s="87">
        <v>862.0</v>
      </c>
      <c r="X23" s="91">
        <v>7194.0</v>
      </c>
      <c r="Y23" s="149">
        <v>0.0121</v>
      </c>
      <c r="Z23" s="78">
        <v>0.0083</v>
      </c>
      <c r="AA23" s="150">
        <v>0.0115</v>
      </c>
      <c r="AB23" s="1"/>
      <c r="AC23" s="87">
        <v>13.0</v>
      </c>
      <c r="AD23" s="87">
        <v>0.0</v>
      </c>
      <c r="AE23" s="87">
        <v>0.0</v>
      </c>
      <c r="AF23" s="142">
        <v>0.0017</v>
      </c>
      <c r="AG23" s="37">
        <v>0.0</v>
      </c>
      <c r="AH23" s="37">
        <v>0.0</v>
      </c>
      <c r="AI23" s="91">
        <v>1317.0</v>
      </c>
      <c r="AJ23" s="87">
        <v>0.0</v>
      </c>
      <c r="AK23" s="87">
        <v>0.0</v>
      </c>
      <c r="AL23" s="151">
        <v>0.0025</v>
      </c>
      <c r="AM23" s="37">
        <v>0.0</v>
      </c>
      <c r="AN23" s="37">
        <v>0.0</v>
      </c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1"/>
      <c r="BE23" s="101"/>
      <c r="BF23" s="101"/>
      <c r="BG23" s="101"/>
      <c r="BH23" s="101"/>
      <c r="BI23" s="101"/>
      <c r="BJ23" s="101"/>
      <c r="BK23" s="101"/>
      <c r="BL23" s="101"/>
      <c r="BM23" s="101"/>
      <c r="BN23" s="101"/>
      <c r="BO23" s="101"/>
      <c r="BP23" s="101"/>
      <c r="BQ23" s="101"/>
      <c r="BR23" s="101"/>
      <c r="BS23" s="101"/>
      <c r="BT23" s="101"/>
      <c r="BU23" s="101"/>
      <c r="BV23" s="101"/>
      <c r="BW23" s="101"/>
      <c r="BX23" s="101"/>
      <c r="BY23" s="101"/>
      <c r="BZ23" s="101"/>
      <c r="CA23" s="101"/>
      <c r="CB23" s="101"/>
      <c r="CC23" s="101"/>
      <c r="CD23" s="101"/>
      <c r="CE23" s="101"/>
      <c r="CF23" s="101"/>
      <c r="CG23" s="101"/>
      <c r="CH23" s="101"/>
      <c r="CI23" s="101"/>
      <c r="CJ23" s="101"/>
      <c r="CK23" s="101"/>
      <c r="CL23" s="101"/>
      <c r="CM23" s="101"/>
      <c r="CN23" s="101"/>
      <c r="CO23" s="101"/>
      <c r="CP23" s="101"/>
      <c r="CQ23" s="101"/>
      <c r="CR23" s="101"/>
      <c r="CS23" s="101"/>
      <c r="CT23" s="101"/>
      <c r="CU23" s="101"/>
      <c r="CV23" s="101"/>
      <c r="CW23" s="101"/>
      <c r="CX23" s="101"/>
      <c r="CY23" s="101"/>
      <c r="CZ23" s="101"/>
      <c r="DA23" s="101"/>
      <c r="DB23" s="101"/>
      <c r="DC23" s="101"/>
      <c r="DD23" s="101"/>
      <c r="DE23" s="101"/>
      <c r="DF23" s="101"/>
      <c r="DG23" s="101"/>
      <c r="DH23" s="101"/>
    </row>
    <row r="24">
      <c r="A24" s="23" t="s">
        <v>42</v>
      </c>
      <c r="B24" s="87">
        <v>21.0</v>
      </c>
      <c r="C24" s="87">
        <v>52.0</v>
      </c>
      <c r="D24" s="87">
        <v>73.0</v>
      </c>
      <c r="E24" s="104">
        <v>0.0036</v>
      </c>
      <c r="F24" s="152">
        <v>0.022</v>
      </c>
      <c r="G24" s="119">
        <v>0.0089</v>
      </c>
      <c r="H24" s="91">
        <v>1718.0</v>
      </c>
      <c r="I24" s="91">
        <v>1509.0</v>
      </c>
      <c r="J24" s="91">
        <v>3227.0</v>
      </c>
      <c r="K24" s="153">
        <v>0.0047</v>
      </c>
      <c r="L24" s="35">
        <v>0.0197</v>
      </c>
      <c r="M24" s="79">
        <v>0.0072</v>
      </c>
      <c r="N24" s="1"/>
      <c r="O24" s="23" t="s">
        <v>42</v>
      </c>
      <c r="P24" s="87">
        <v>20.0</v>
      </c>
      <c r="Q24" s="87">
        <v>44.0</v>
      </c>
      <c r="R24" s="87">
        <v>64.0</v>
      </c>
      <c r="S24" s="154">
        <v>0.0034</v>
      </c>
      <c r="T24" s="155">
        <v>0.0186</v>
      </c>
      <c r="U24" s="52">
        <v>0.0078</v>
      </c>
      <c r="V24" s="91">
        <v>1693.0</v>
      </c>
      <c r="W24" s="91">
        <v>1313.0</v>
      </c>
      <c r="X24" s="91">
        <v>3006.0</v>
      </c>
      <c r="Y24" s="156">
        <v>0.0046</v>
      </c>
      <c r="Z24" s="157">
        <v>0.0171</v>
      </c>
      <c r="AA24" s="156">
        <v>0.0067</v>
      </c>
      <c r="AB24" s="1"/>
      <c r="AC24" s="87">
        <v>5.0</v>
      </c>
      <c r="AD24" s="87">
        <v>0.0</v>
      </c>
      <c r="AE24" s="87">
        <v>0.0</v>
      </c>
      <c r="AF24" s="157">
        <v>0.0017</v>
      </c>
      <c r="AG24" s="37">
        <v>0.0</v>
      </c>
      <c r="AH24" s="37">
        <v>0.0</v>
      </c>
      <c r="AI24" s="87">
        <v>374.0</v>
      </c>
      <c r="AJ24" s="87">
        <v>0.0</v>
      </c>
      <c r="AK24" s="87">
        <v>0.0</v>
      </c>
      <c r="AL24" s="45">
        <v>0.001</v>
      </c>
      <c r="AM24" s="37">
        <v>0.0</v>
      </c>
      <c r="AN24" s="37">
        <v>0.0</v>
      </c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1"/>
      <c r="BE24" s="101"/>
      <c r="BF24" s="101"/>
      <c r="BG24" s="101"/>
      <c r="BH24" s="101"/>
      <c r="BI24" s="101"/>
      <c r="BJ24" s="101"/>
      <c r="BK24" s="101"/>
      <c r="BL24" s="101"/>
      <c r="BM24" s="101"/>
      <c r="BN24" s="101"/>
      <c r="BO24" s="101"/>
      <c r="BP24" s="101"/>
      <c r="BQ24" s="101"/>
      <c r="BR24" s="101"/>
      <c r="BS24" s="101"/>
      <c r="BT24" s="101"/>
      <c r="BU24" s="101"/>
      <c r="BV24" s="101"/>
      <c r="BW24" s="101"/>
      <c r="BX24" s="101"/>
      <c r="BY24" s="101"/>
      <c r="BZ24" s="101"/>
      <c r="CA24" s="101"/>
      <c r="CB24" s="101"/>
      <c r="CC24" s="101"/>
      <c r="CD24" s="101"/>
      <c r="CE24" s="101"/>
      <c r="CF24" s="101"/>
      <c r="CG24" s="101"/>
      <c r="CH24" s="101"/>
      <c r="CI24" s="101"/>
      <c r="CJ24" s="101"/>
      <c r="CK24" s="101"/>
      <c r="CL24" s="101"/>
      <c r="CM24" s="101"/>
      <c r="CN24" s="101"/>
      <c r="CO24" s="101"/>
      <c r="CP24" s="101"/>
      <c r="CQ24" s="101"/>
      <c r="CR24" s="101"/>
      <c r="CS24" s="101"/>
      <c r="CT24" s="101"/>
      <c r="CU24" s="101"/>
      <c r="CV24" s="101"/>
      <c r="CW24" s="101"/>
      <c r="CX24" s="101"/>
      <c r="CY24" s="101"/>
      <c r="CZ24" s="101"/>
      <c r="DA24" s="101"/>
      <c r="DB24" s="101"/>
      <c r="DC24" s="101"/>
      <c r="DD24" s="101"/>
      <c r="DE24" s="101"/>
      <c r="DF24" s="101"/>
      <c r="DG24" s="101"/>
      <c r="DH24" s="101"/>
    </row>
    <row r="25">
      <c r="A25" s="23" t="s">
        <v>43</v>
      </c>
      <c r="B25" s="87">
        <v>38.0</v>
      </c>
      <c r="C25" s="87">
        <v>121.0</v>
      </c>
      <c r="D25" s="87">
        <v>159.0</v>
      </c>
      <c r="E25" s="158">
        <v>0.0049</v>
      </c>
      <c r="F25" s="159">
        <v>0.0239</v>
      </c>
      <c r="G25" s="64">
        <v>0.0124</v>
      </c>
      <c r="H25" s="91">
        <v>4860.0</v>
      </c>
      <c r="I25" s="91">
        <v>3933.0</v>
      </c>
      <c r="J25" s="91">
        <v>8792.0</v>
      </c>
      <c r="K25" s="117">
        <v>0.0098</v>
      </c>
      <c r="L25" s="160">
        <v>0.0236</v>
      </c>
      <c r="M25" s="161">
        <v>0.0133</v>
      </c>
      <c r="N25" s="1"/>
      <c r="O25" s="23" t="s">
        <v>43</v>
      </c>
      <c r="P25" s="87">
        <v>33.0</v>
      </c>
      <c r="Q25" s="87">
        <v>106.0</v>
      </c>
      <c r="R25" s="87">
        <v>139.0</v>
      </c>
      <c r="S25" s="162">
        <v>0.0042</v>
      </c>
      <c r="T25" s="52">
        <v>0.021</v>
      </c>
      <c r="U25" s="163">
        <v>0.0108</v>
      </c>
      <c r="V25" s="91">
        <v>3319.0</v>
      </c>
      <c r="W25" s="91">
        <v>3438.0</v>
      </c>
      <c r="X25" s="91">
        <v>6757.0</v>
      </c>
      <c r="Y25" s="69">
        <v>0.0067</v>
      </c>
      <c r="Z25" s="164">
        <v>0.0206</v>
      </c>
      <c r="AA25" s="69">
        <v>0.0102</v>
      </c>
      <c r="AB25" s="1"/>
      <c r="AC25" s="87">
        <v>1.0</v>
      </c>
      <c r="AD25" s="87">
        <v>0.0</v>
      </c>
      <c r="AE25" s="87">
        <v>0.0</v>
      </c>
      <c r="AF25" s="165">
        <v>0.0017</v>
      </c>
      <c r="AG25" s="37">
        <v>0.0</v>
      </c>
      <c r="AH25" s="37">
        <v>0.0</v>
      </c>
      <c r="AI25" s="91">
        <v>1040.0</v>
      </c>
      <c r="AJ25" s="87">
        <v>0.0</v>
      </c>
      <c r="AK25" s="87">
        <v>0.0</v>
      </c>
      <c r="AL25" s="166">
        <v>0.0021</v>
      </c>
      <c r="AM25" s="37">
        <v>0.0</v>
      </c>
      <c r="AN25" s="37">
        <v>0.0</v>
      </c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101"/>
      <c r="BF25" s="101"/>
      <c r="BG25" s="101"/>
      <c r="BH25" s="101"/>
      <c r="BI25" s="101"/>
      <c r="BJ25" s="101"/>
      <c r="BK25" s="101"/>
      <c r="BL25" s="101"/>
      <c r="BM25" s="101"/>
      <c r="BN25" s="101"/>
      <c r="BO25" s="101"/>
      <c r="BP25" s="101"/>
      <c r="BQ25" s="101"/>
      <c r="BR25" s="101"/>
      <c r="BS25" s="101"/>
      <c r="BT25" s="101"/>
      <c r="BU25" s="101"/>
      <c r="BV25" s="101"/>
      <c r="BW25" s="101"/>
      <c r="BX25" s="101"/>
      <c r="BY25" s="101"/>
      <c r="BZ25" s="101"/>
      <c r="CA25" s="101"/>
      <c r="CB25" s="101"/>
      <c r="CC25" s="101"/>
      <c r="CD25" s="101"/>
      <c r="CE25" s="101"/>
      <c r="CF25" s="101"/>
      <c r="CG25" s="101"/>
      <c r="CH25" s="101"/>
      <c r="CI25" s="101"/>
      <c r="CJ25" s="101"/>
      <c r="CK25" s="101"/>
      <c r="CL25" s="101"/>
      <c r="CM25" s="101"/>
      <c r="CN25" s="101"/>
      <c r="CO25" s="101"/>
      <c r="CP25" s="101"/>
      <c r="CQ25" s="101"/>
      <c r="CR25" s="101"/>
      <c r="CS25" s="101"/>
      <c r="CT25" s="101"/>
      <c r="CU25" s="101"/>
      <c r="CV25" s="101"/>
      <c r="CW25" s="101"/>
      <c r="CX25" s="101"/>
      <c r="CY25" s="101"/>
      <c r="CZ25" s="101"/>
      <c r="DA25" s="101"/>
      <c r="DB25" s="101"/>
      <c r="DC25" s="101"/>
      <c r="DD25" s="101"/>
      <c r="DE25" s="101"/>
      <c r="DF25" s="101"/>
      <c r="DG25" s="101"/>
      <c r="DH25" s="101"/>
    </row>
    <row r="26">
      <c r="A26" s="23" t="s">
        <v>44</v>
      </c>
      <c r="B26" s="87">
        <v>31.0</v>
      </c>
      <c r="C26" s="87">
        <v>94.0</v>
      </c>
      <c r="D26" s="87">
        <v>125.0</v>
      </c>
      <c r="E26" s="167">
        <v>0.0049</v>
      </c>
      <c r="F26" s="53">
        <v>0.0401</v>
      </c>
      <c r="G26" s="168">
        <v>0.0144</v>
      </c>
      <c r="H26" s="91">
        <v>3970.0</v>
      </c>
      <c r="I26" s="91">
        <v>2941.0</v>
      </c>
      <c r="J26" s="91">
        <v>6911.0</v>
      </c>
      <c r="K26" s="169">
        <v>0.0111</v>
      </c>
      <c r="L26" s="170">
        <v>0.0387</v>
      </c>
      <c r="M26" s="104">
        <v>0.016</v>
      </c>
      <c r="N26" s="1"/>
      <c r="O26" s="23" t="s">
        <v>44</v>
      </c>
      <c r="P26" s="87">
        <v>28.0</v>
      </c>
      <c r="Q26" s="87">
        <v>86.0</v>
      </c>
      <c r="R26" s="87">
        <v>114.0</v>
      </c>
      <c r="S26" s="49">
        <v>0.0044</v>
      </c>
      <c r="T26" s="113">
        <v>0.0367</v>
      </c>
      <c r="U26" s="127">
        <v>0.0131</v>
      </c>
      <c r="V26" s="91">
        <v>2196.0</v>
      </c>
      <c r="W26" s="91">
        <v>2702.0</v>
      </c>
      <c r="X26" s="91">
        <v>4898.0</v>
      </c>
      <c r="Y26" s="171">
        <v>0.0062</v>
      </c>
      <c r="Z26" s="172">
        <v>0.0355</v>
      </c>
      <c r="AA26" s="172">
        <v>0.0113</v>
      </c>
      <c r="AB26" s="1"/>
      <c r="AC26" s="87">
        <v>1.0</v>
      </c>
      <c r="AD26" s="87">
        <v>0.0</v>
      </c>
      <c r="AE26" s="87">
        <v>0.0</v>
      </c>
      <c r="AF26" s="173">
        <v>0.0017</v>
      </c>
      <c r="AG26" s="37">
        <v>0.0</v>
      </c>
      <c r="AH26" s="37">
        <v>0.0</v>
      </c>
      <c r="AI26" s="87">
        <v>60.0</v>
      </c>
      <c r="AJ26" s="87">
        <v>0.0</v>
      </c>
      <c r="AK26" s="87">
        <v>0.0</v>
      </c>
      <c r="AL26" s="174">
        <v>2.0E-4</v>
      </c>
      <c r="AM26" s="37">
        <v>0.0</v>
      </c>
      <c r="AN26" s="37">
        <v>0.0</v>
      </c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1"/>
      <c r="BG26" s="101"/>
      <c r="BH26" s="101"/>
      <c r="BI26" s="101"/>
      <c r="BJ26" s="101"/>
      <c r="BK26" s="101"/>
      <c r="BL26" s="101"/>
      <c r="BM26" s="101"/>
      <c r="BN26" s="101"/>
      <c r="BO26" s="101"/>
      <c r="BP26" s="101"/>
      <c r="BQ26" s="101"/>
      <c r="BR26" s="101"/>
      <c r="BS26" s="101"/>
      <c r="BT26" s="101"/>
      <c r="BU26" s="101"/>
      <c r="BV26" s="101"/>
      <c r="BW26" s="101"/>
      <c r="BX26" s="101"/>
      <c r="BY26" s="101"/>
      <c r="BZ26" s="101"/>
      <c r="CA26" s="101"/>
      <c r="CB26" s="101"/>
      <c r="CC26" s="101"/>
      <c r="CD26" s="101"/>
      <c r="CE26" s="101"/>
      <c r="CF26" s="101"/>
      <c r="CG26" s="101"/>
      <c r="CH26" s="101"/>
      <c r="CI26" s="101"/>
      <c r="CJ26" s="101"/>
      <c r="CK26" s="101"/>
      <c r="CL26" s="101"/>
      <c r="CM26" s="101"/>
      <c r="CN26" s="101"/>
      <c r="CO26" s="101"/>
      <c r="CP26" s="101"/>
      <c r="CQ26" s="101"/>
      <c r="CR26" s="101"/>
      <c r="CS26" s="101"/>
      <c r="CT26" s="101"/>
      <c r="CU26" s="101"/>
      <c r="CV26" s="101"/>
      <c r="CW26" s="101"/>
      <c r="CX26" s="101"/>
      <c r="CY26" s="101"/>
      <c r="CZ26" s="101"/>
      <c r="DA26" s="101"/>
      <c r="DB26" s="101"/>
      <c r="DC26" s="101"/>
      <c r="DD26" s="101"/>
      <c r="DE26" s="101"/>
      <c r="DF26" s="101"/>
      <c r="DG26" s="101"/>
      <c r="DH26" s="101"/>
    </row>
    <row r="27">
      <c r="A27" s="23" t="s">
        <v>45</v>
      </c>
      <c r="B27" s="87">
        <v>31.0</v>
      </c>
      <c r="C27" s="87">
        <v>41.0</v>
      </c>
      <c r="D27" s="87">
        <v>72.0</v>
      </c>
      <c r="E27" s="175">
        <v>0.006</v>
      </c>
      <c r="F27" s="176">
        <v>0.0193</v>
      </c>
      <c r="G27" s="177">
        <v>0.0099</v>
      </c>
      <c r="H27" s="91">
        <v>3493.0</v>
      </c>
      <c r="I27" s="91">
        <v>1293.0</v>
      </c>
      <c r="J27" s="91">
        <v>4786.0</v>
      </c>
      <c r="K27" s="178">
        <v>0.0101</v>
      </c>
      <c r="L27" s="34">
        <v>0.0196</v>
      </c>
      <c r="M27" s="179">
        <v>0.0116</v>
      </c>
      <c r="N27" s="1"/>
      <c r="O27" s="23" t="s">
        <v>45</v>
      </c>
      <c r="P27" s="87">
        <v>28.0</v>
      </c>
      <c r="Q27" s="87">
        <v>33.0</v>
      </c>
      <c r="R27" s="87">
        <v>61.0</v>
      </c>
      <c r="S27" s="180">
        <v>0.0054</v>
      </c>
      <c r="T27" s="181">
        <v>0.0155</v>
      </c>
      <c r="U27" s="53">
        <v>0.0084</v>
      </c>
      <c r="V27" s="91">
        <v>3186.0</v>
      </c>
      <c r="W27" s="91">
        <v>1034.0</v>
      </c>
      <c r="X27" s="91">
        <v>4220.0</v>
      </c>
      <c r="Y27" s="142">
        <v>0.0092</v>
      </c>
      <c r="Z27" s="182">
        <v>0.0157</v>
      </c>
      <c r="AA27" s="183">
        <v>0.0102</v>
      </c>
      <c r="AB27" s="1"/>
      <c r="AC27" s="87">
        <v>6.0</v>
      </c>
      <c r="AD27" s="87">
        <v>0.0</v>
      </c>
      <c r="AE27" s="87">
        <v>0.0</v>
      </c>
      <c r="AF27" s="184">
        <v>0.0017</v>
      </c>
      <c r="AG27" s="37">
        <v>0.0</v>
      </c>
      <c r="AH27" s="37">
        <v>0.0</v>
      </c>
      <c r="AI27" s="91">
        <v>1749.0</v>
      </c>
      <c r="AJ27" s="87">
        <v>0.0</v>
      </c>
      <c r="AK27" s="87">
        <v>0.0</v>
      </c>
      <c r="AL27" s="173">
        <v>0.005</v>
      </c>
      <c r="AM27" s="37">
        <v>0.0</v>
      </c>
      <c r="AN27" s="37">
        <v>0.0</v>
      </c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101"/>
      <c r="BF27" s="101"/>
      <c r="BG27" s="101"/>
      <c r="BH27" s="101"/>
      <c r="BI27" s="101"/>
      <c r="BJ27" s="101"/>
      <c r="BK27" s="101"/>
      <c r="BL27" s="101"/>
      <c r="BM27" s="101"/>
      <c r="BN27" s="101"/>
      <c r="BO27" s="101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01"/>
      <c r="CC27" s="101"/>
      <c r="CD27" s="101"/>
      <c r="CE27" s="101"/>
      <c r="CF27" s="101"/>
      <c r="CG27" s="101"/>
      <c r="CH27" s="101"/>
      <c r="CI27" s="101"/>
      <c r="CJ27" s="101"/>
      <c r="CK27" s="101"/>
      <c r="CL27" s="101"/>
      <c r="CM27" s="101"/>
      <c r="CN27" s="101"/>
      <c r="CO27" s="101"/>
      <c r="CP27" s="101"/>
      <c r="CQ27" s="101"/>
      <c r="CR27" s="101"/>
      <c r="CS27" s="101"/>
      <c r="CT27" s="101"/>
      <c r="CU27" s="101"/>
      <c r="CV27" s="101"/>
      <c r="CW27" s="101"/>
      <c r="CX27" s="101"/>
      <c r="CY27" s="101"/>
      <c r="CZ27" s="101"/>
      <c r="DA27" s="101"/>
      <c r="DB27" s="101"/>
      <c r="DC27" s="101"/>
      <c r="DD27" s="101"/>
      <c r="DE27" s="101"/>
      <c r="DF27" s="101"/>
      <c r="DG27" s="101"/>
      <c r="DH27" s="101"/>
    </row>
    <row r="28">
      <c r="A28" s="185" t="s">
        <v>46</v>
      </c>
      <c r="B28" s="87">
        <v>39.0</v>
      </c>
      <c r="C28" s="87">
        <v>59.0</v>
      </c>
      <c r="D28" s="87">
        <v>98.0</v>
      </c>
      <c r="E28" s="36">
        <v>0.0072</v>
      </c>
      <c r="F28" s="186">
        <v>0.0249</v>
      </c>
      <c r="G28" s="155">
        <v>0.0126</v>
      </c>
      <c r="H28" s="91">
        <v>2577.0</v>
      </c>
      <c r="I28" s="91">
        <v>1678.0</v>
      </c>
      <c r="J28" s="91">
        <v>4254.0</v>
      </c>
      <c r="K28" s="51">
        <v>0.0077</v>
      </c>
      <c r="L28" s="187">
        <v>0.0218</v>
      </c>
      <c r="M28" s="169">
        <v>0.0103</v>
      </c>
      <c r="N28" s="1"/>
      <c r="O28" s="185" t="s">
        <v>46</v>
      </c>
      <c r="P28" s="87">
        <v>34.0</v>
      </c>
      <c r="Q28" s="87">
        <v>53.0</v>
      </c>
      <c r="R28" s="87">
        <v>87.0</v>
      </c>
      <c r="S28" s="188">
        <v>0.0063</v>
      </c>
      <c r="T28" s="189">
        <v>0.0224</v>
      </c>
      <c r="U28" s="190">
        <v>0.0112</v>
      </c>
      <c r="V28" s="91">
        <v>2309.0</v>
      </c>
      <c r="W28" s="91">
        <v>1411.0</v>
      </c>
      <c r="X28" s="91">
        <v>3719.0</v>
      </c>
      <c r="Y28" s="169">
        <v>0.0069</v>
      </c>
      <c r="Z28" s="191">
        <v>0.0183</v>
      </c>
      <c r="AA28" s="104">
        <v>0.009</v>
      </c>
      <c r="AB28" s="1"/>
      <c r="AC28" s="87">
        <v>7.0</v>
      </c>
      <c r="AD28" s="87">
        <v>0.0</v>
      </c>
      <c r="AE28" s="87">
        <v>0.0</v>
      </c>
      <c r="AF28" s="192">
        <v>0.0017</v>
      </c>
      <c r="AG28" s="37">
        <v>0.0</v>
      </c>
      <c r="AH28" s="37">
        <v>0.0</v>
      </c>
      <c r="AI28" s="87">
        <v>496.0</v>
      </c>
      <c r="AJ28" s="87">
        <v>0.0</v>
      </c>
      <c r="AK28" s="87">
        <v>0.0</v>
      </c>
      <c r="AL28" s="35">
        <v>0.0015</v>
      </c>
      <c r="AM28" s="37">
        <v>0.0</v>
      </c>
      <c r="AN28" s="37">
        <v>0.0</v>
      </c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1"/>
      <c r="BE28" s="101"/>
      <c r="BF28" s="101"/>
      <c r="BG28" s="101"/>
      <c r="BH28" s="101"/>
      <c r="BI28" s="101"/>
      <c r="BJ28" s="101"/>
      <c r="BK28" s="101"/>
      <c r="BL28" s="101"/>
      <c r="BM28" s="101"/>
      <c r="BN28" s="101"/>
      <c r="BO28" s="101"/>
      <c r="BP28" s="101"/>
      <c r="BQ28" s="101"/>
      <c r="BR28" s="101"/>
      <c r="BS28" s="101"/>
      <c r="BT28" s="101"/>
      <c r="BU28" s="101"/>
      <c r="BV28" s="101"/>
      <c r="BW28" s="101"/>
      <c r="BX28" s="101"/>
      <c r="BY28" s="101"/>
      <c r="BZ28" s="101"/>
      <c r="CA28" s="101"/>
      <c r="CB28" s="101"/>
      <c r="CC28" s="101"/>
      <c r="CD28" s="101"/>
      <c r="CE28" s="101"/>
      <c r="CF28" s="101"/>
      <c r="CG28" s="101"/>
      <c r="CH28" s="101"/>
      <c r="CI28" s="101"/>
      <c r="CJ28" s="101"/>
      <c r="CK28" s="101"/>
      <c r="CL28" s="101"/>
      <c r="CM28" s="101"/>
      <c r="CN28" s="101"/>
      <c r="CO28" s="101"/>
      <c r="CP28" s="101"/>
      <c r="CQ28" s="101"/>
      <c r="CR28" s="101"/>
      <c r="CS28" s="101"/>
      <c r="CT28" s="101"/>
      <c r="CU28" s="101"/>
      <c r="CV28" s="101"/>
      <c r="CW28" s="101"/>
      <c r="CX28" s="101"/>
      <c r="CY28" s="101"/>
      <c r="CZ28" s="101"/>
      <c r="DA28" s="101"/>
      <c r="DB28" s="101"/>
      <c r="DC28" s="101"/>
      <c r="DD28" s="101"/>
      <c r="DE28" s="101"/>
      <c r="DF28" s="101"/>
      <c r="DG28" s="101"/>
      <c r="DH28" s="101"/>
    </row>
    <row r="29">
      <c r="A29" s="193" t="s">
        <v>47</v>
      </c>
      <c r="B29" s="87">
        <v>104.0</v>
      </c>
      <c r="C29" s="87">
        <v>25.0</v>
      </c>
      <c r="D29" s="87">
        <v>129.0</v>
      </c>
      <c r="E29" s="53">
        <v>0.0134</v>
      </c>
      <c r="F29" s="69">
        <v>0.0055</v>
      </c>
      <c r="G29" s="194">
        <v>0.0105</v>
      </c>
      <c r="H29" s="91">
        <v>9876.0</v>
      </c>
      <c r="I29" s="91">
        <v>1057.0</v>
      </c>
      <c r="J29" s="91">
        <v>10933.0</v>
      </c>
      <c r="K29" s="53">
        <v>0.0191</v>
      </c>
      <c r="L29" s="69">
        <v>0.0065</v>
      </c>
      <c r="M29" s="28">
        <v>0.016</v>
      </c>
      <c r="N29" s="195"/>
      <c r="O29" s="196" t="s">
        <v>47</v>
      </c>
      <c r="P29" s="87">
        <v>101.0</v>
      </c>
      <c r="Q29" s="87">
        <v>22.0</v>
      </c>
      <c r="R29" s="87">
        <v>123.0</v>
      </c>
      <c r="S29" s="49">
        <v>0.013</v>
      </c>
      <c r="T29" s="197">
        <v>0.0048</v>
      </c>
      <c r="U29" s="198">
        <v>0.01</v>
      </c>
      <c r="V29" s="91">
        <v>8716.0</v>
      </c>
      <c r="W29" s="87">
        <v>879.0</v>
      </c>
      <c r="X29" s="91">
        <v>9595.0</v>
      </c>
      <c r="Y29" s="104">
        <v>0.0168</v>
      </c>
      <c r="Z29" s="133">
        <v>0.0054</v>
      </c>
      <c r="AA29" s="199">
        <v>0.0141</v>
      </c>
      <c r="AB29" s="195"/>
      <c r="AC29" s="87">
        <v>43.0</v>
      </c>
      <c r="AD29" s="87">
        <v>0.0</v>
      </c>
      <c r="AE29" s="87">
        <v>0.0</v>
      </c>
      <c r="AF29" s="53">
        <v>0.0017</v>
      </c>
      <c r="AG29" s="37">
        <v>0.0</v>
      </c>
      <c r="AH29" s="37">
        <v>0.0</v>
      </c>
      <c r="AI29" s="91">
        <v>3817.0</v>
      </c>
      <c r="AJ29" s="87">
        <v>0.0</v>
      </c>
      <c r="AK29" s="87">
        <v>0.0</v>
      </c>
      <c r="AL29" s="53">
        <v>0.0074</v>
      </c>
      <c r="AM29" s="37">
        <v>0.0</v>
      </c>
      <c r="AN29" s="37">
        <v>0.0</v>
      </c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101"/>
      <c r="BF29" s="101"/>
      <c r="BG29" s="101"/>
      <c r="BH29" s="101"/>
      <c r="BI29" s="101"/>
      <c r="BJ29" s="101"/>
      <c r="BK29" s="101"/>
      <c r="BL29" s="101"/>
      <c r="BM29" s="101"/>
      <c r="BN29" s="101"/>
      <c r="BO29" s="101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01"/>
      <c r="CC29" s="101"/>
      <c r="CD29" s="101"/>
      <c r="CE29" s="101"/>
      <c r="CF29" s="101"/>
      <c r="CG29" s="101"/>
      <c r="CH29" s="101"/>
      <c r="CI29" s="101"/>
      <c r="CJ29" s="101"/>
      <c r="CK29" s="101"/>
      <c r="CL29" s="101"/>
      <c r="CM29" s="101"/>
      <c r="CN29" s="101"/>
      <c r="CO29" s="101"/>
      <c r="CP29" s="101"/>
      <c r="CQ29" s="101"/>
      <c r="CR29" s="101"/>
      <c r="CS29" s="101"/>
      <c r="CT29" s="101"/>
      <c r="CU29" s="101"/>
      <c r="CV29" s="101"/>
      <c r="CW29" s="101"/>
      <c r="CX29" s="101"/>
      <c r="CY29" s="101"/>
      <c r="CZ29" s="101"/>
      <c r="DA29" s="101"/>
      <c r="DB29" s="101"/>
      <c r="DC29" s="101"/>
      <c r="DD29" s="101"/>
      <c r="DE29" s="101"/>
      <c r="DF29" s="101"/>
      <c r="DG29" s="101"/>
      <c r="DH29" s="101"/>
    </row>
    <row r="30">
      <c r="A30" s="200" t="s">
        <v>48</v>
      </c>
      <c r="B30" s="87">
        <v>35.0</v>
      </c>
      <c r="C30" s="87">
        <v>15.0</v>
      </c>
      <c r="D30" s="87">
        <v>50.0</v>
      </c>
      <c r="E30" s="69">
        <v>0.0052</v>
      </c>
      <c r="F30" s="143">
        <v>0.0036</v>
      </c>
      <c r="G30" s="69">
        <v>0.0046</v>
      </c>
      <c r="H30" s="91">
        <v>2070.0</v>
      </c>
      <c r="I30" s="87">
        <v>550.0</v>
      </c>
      <c r="J30" s="91">
        <v>2620.0</v>
      </c>
      <c r="K30" s="201">
        <v>0.0052</v>
      </c>
      <c r="L30" s="165">
        <v>0.004</v>
      </c>
      <c r="M30" s="202">
        <v>0.0049</v>
      </c>
      <c r="N30" s="1"/>
      <c r="O30" s="23" t="s">
        <v>48</v>
      </c>
      <c r="P30" s="87">
        <v>31.0</v>
      </c>
      <c r="Q30" s="87">
        <v>12.0</v>
      </c>
      <c r="R30" s="87">
        <v>43.0</v>
      </c>
      <c r="S30" s="203">
        <v>0.0046</v>
      </c>
      <c r="T30" s="59">
        <v>0.0029</v>
      </c>
      <c r="U30" s="204">
        <v>0.004</v>
      </c>
      <c r="V30" s="91">
        <v>1609.0</v>
      </c>
      <c r="W30" s="87">
        <v>385.0</v>
      </c>
      <c r="X30" s="91">
        <v>1994.0</v>
      </c>
      <c r="Y30" s="38">
        <v>0.0041</v>
      </c>
      <c r="Z30" s="205">
        <v>0.0028</v>
      </c>
      <c r="AA30" s="166">
        <v>0.0037</v>
      </c>
      <c r="AB30" s="1"/>
      <c r="AC30" s="87">
        <v>8.0</v>
      </c>
      <c r="AD30" s="87">
        <v>0.0</v>
      </c>
      <c r="AE30" s="87">
        <v>0.0</v>
      </c>
      <c r="AF30" s="133">
        <v>0.0017</v>
      </c>
      <c r="AG30" s="37">
        <v>0.0</v>
      </c>
      <c r="AH30" s="37">
        <v>0.0</v>
      </c>
      <c r="AI30" s="87">
        <v>447.0</v>
      </c>
      <c r="AJ30" s="87">
        <v>0.0</v>
      </c>
      <c r="AK30" s="87">
        <v>0.0</v>
      </c>
      <c r="AL30" s="206">
        <v>0.0011</v>
      </c>
      <c r="AM30" s="37">
        <v>0.0</v>
      </c>
      <c r="AN30" s="37">
        <v>0.0</v>
      </c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1"/>
      <c r="BE30" s="101"/>
      <c r="BF30" s="101"/>
      <c r="BG30" s="101"/>
      <c r="BH30" s="101"/>
      <c r="BI30" s="101"/>
      <c r="BJ30" s="101"/>
      <c r="BK30" s="101"/>
      <c r="BL30" s="101"/>
      <c r="BM30" s="101"/>
      <c r="BN30" s="101"/>
      <c r="BO30" s="101"/>
      <c r="BP30" s="101"/>
      <c r="BQ30" s="101"/>
      <c r="BR30" s="101"/>
      <c r="BS30" s="101"/>
      <c r="BT30" s="101"/>
      <c r="BU30" s="101"/>
      <c r="BV30" s="101"/>
      <c r="BW30" s="101"/>
      <c r="BX30" s="101"/>
      <c r="BY30" s="101"/>
      <c r="BZ30" s="101"/>
      <c r="CA30" s="101"/>
      <c r="CB30" s="101"/>
      <c r="CC30" s="101"/>
      <c r="CD30" s="101"/>
      <c r="CE30" s="101"/>
      <c r="CF30" s="101"/>
      <c r="CG30" s="101"/>
      <c r="CH30" s="101"/>
      <c r="CI30" s="101"/>
      <c r="CJ30" s="101"/>
      <c r="CK30" s="101"/>
      <c r="CL30" s="101"/>
      <c r="CM30" s="101"/>
      <c r="CN30" s="101"/>
      <c r="CO30" s="101"/>
      <c r="CP30" s="101"/>
      <c r="CQ30" s="101"/>
      <c r="CR30" s="101"/>
      <c r="CS30" s="101"/>
      <c r="CT30" s="101"/>
      <c r="CU30" s="101"/>
      <c r="CV30" s="101"/>
      <c r="CW30" s="101"/>
      <c r="CX30" s="101"/>
      <c r="CY30" s="101"/>
      <c r="CZ30" s="101"/>
      <c r="DA30" s="101"/>
      <c r="DB30" s="101"/>
      <c r="DC30" s="101"/>
      <c r="DD30" s="101"/>
      <c r="DE30" s="101"/>
      <c r="DF30" s="101"/>
      <c r="DG30" s="101"/>
      <c r="DH30" s="101"/>
    </row>
    <row r="31">
      <c r="A31" s="200" t="s">
        <v>49</v>
      </c>
      <c r="B31" s="87">
        <v>47.0</v>
      </c>
      <c r="C31" s="87">
        <v>29.0</v>
      </c>
      <c r="D31" s="87">
        <v>76.0</v>
      </c>
      <c r="E31" s="207">
        <v>0.0085</v>
      </c>
      <c r="F31" s="53">
        <v>0.01</v>
      </c>
      <c r="G31" s="208">
        <v>0.009</v>
      </c>
      <c r="H31" s="91">
        <v>4617.0</v>
      </c>
      <c r="I31" s="91">
        <v>1234.0</v>
      </c>
      <c r="J31" s="91">
        <v>5851.0</v>
      </c>
      <c r="K31" s="156">
        <v>0.0131</v>
      </c>
      <c r="L31" s="53">
        <v>0.0123</v>
      </c>
      <c r="M31" s="209">
        <v>0.0129</v>
      </c>
      <c r="N31" s="1"/>
      <c r="O31" s="23" t="s">
        <v>49</v>
      </c>
      <c r="P31" s="87">
        <v>46.0</v>
      </c>
      <c r="Q31" s="87">
        <v>25.0</v>
      </c>
      <c r="R31" s="87">
        <v>71.0</v>
      </c>
      <c r="S31" s="64">
        <v>0.0083</v>
      </c>
      <c r="T31" s="210">
        <v>0.0086</v>
      </c>
      <c r="U31" s="211">
        <v>0.0084</v>
      </c>
      <c r="V31" s="91">
        <v>4519.0</v>
      </c>
      <c r="W31" s="91">
        <v>1079.0</v>
      </c>
      <c r="X31" s="91">
        <v>5598.0</v>
      </c>
      <c r="Y31" s="104">
        <v>0.0128</v>
      </c>
      <c r="Z31" s="69">
        <v>0.0107</v>
      </c>
      <c r="AA31" s="88">
        <v>0.0123</v>
      </c>
      <c r="AB31" s="1"/>
      <c r="AC31" s="87">
        <v>5.0</v>
      </c>
      <c r="AD31" s="87">
        <v>0.0</v>
      </c>
      <c r="AE31" s="87">
        <v>0.0</v>
      </c>
      <c r="AF31" s="69">
        <v>0.0017</v>
      </c>
      <c r="AG31" s="37">
        <v>0.0</v>
      </c>
      <c r="AH31" s="37">
        <v>0.0</v>
      </c>
      <c r="AI31" s="87">
        <v>373.0</v>
      </c>
      <c r="AJ31" s="87">
        <v>0.0</v>
      </c>
      <c r="AK31" s="87">
        <v>0.0</v>
      </c>
      <c r="AL31" s="69">
        <v>0.0011</v>
      </c>
      <c r="AM31" s="37">
        <v>0.0</v>
      </c>
      <c r="AN31" s="37">
        <v>0.0</v>
      </c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/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  <c r="CU31" s="101"/>
      <c r="CV31" s="101"/>
      <c r="CW31" s="101"/>
      <c r="CX31" s="101"/>
      <c r="CY31" s="101"/>
      <c r="CZ31" s="101"/>
      <c r="DA31" s="101"/>
      <c r="DB31" s="101"/>
      <c r="DC31" s="101"/>
      <c r="DD31" s="101"/>
      <c r="DE31" s="101"/>
      <c r="DF31" s="101"/>
      <c r="DG31" s="101"/>
      <c r="DH31" s="101"/>
    </row>
    <row r="32">
      <c r="A32" s="200" t="s">
        <v>50</v>
      </c>
      <c r="B32" s="87">
        <v>81.0</v>
      </c>
      <c r="C32" s="87">
        <v>56.0</v>
      </c>
      <c r="D32" s="87">
        <v>137.0</v>
      </c>
      <c r="E32" s="145">
        <v>0.0095</v>
      </c>
      <c r="F32" s="212">
        <v>0.0123</v>
      </c>
      <c r="G32" s="213">
        <v>0.0105</v>
      </c>
      <c r="H32" s="91">
        <v>7728.0</v>
      </c>
      <c r="I32" s="91">
        <v>1794.0</v>
      </c>
      <c r="J32" s="91">
        <v>9522.0</v>
      </c>
      <c r="K32" s="214">
        <v>0.0165</v>
      </c>
      <c r="L32" s="215">
        <v>0.0117</v>
      </c>
      <c r="M32" s="53">
        <v>0.0153</v>
      </c>
      <c r="N32" s="1"/>
      <c r="O32" s="23" t="s">
        <v>50</v>
      </c>
      <c r="P32" s="87">
        <v>67.0</v>
      </c>
      <c r="Q32" s="87">
        <v>44.0</v>
      </c>
      <c r="R32" s="87">
        <v>111.0</v>
      </c>
      <c r="S32" s="53">
        <v>0.0079</v>
      </c>
      <c r="T32" s="216">
        <v>0.0097</v>
      </c>
      <c r="U32" s="154">
        <v>0.0085</v>
      </c>
      <c r="V32" s="91">
        <v>5492.0</v>
      </c>
      <c r="W32" s="91">
        <v>1370.0</v>
      </c>
      <c r="X32" s="91">
        <v>6862.0</v>
      </c>
      <c r="Y32" s="53">
        <v>0.0117</v>
      </c>
      <c r="Z32" s="99">
        <v>0.0089</v>
      </c>
      <c r="AA32" s="53">
        <v>0.011</v>
      </c>
      <c r="AB32" s="1"/>
      <c r="AC32" s="87">
        <v>16.0</v>
      </c>
      <c r="AD32" s="87">
        <v>0.0</v>
      </c>
      <c r="AE32" s="87">
        <v>0.0</v>
      </c>
      <c r="AF32" s="217">
        <v>0.0017</v>
      </c>
      <c r="AG32" s="37">
        <v>0.0</v>
      </c>
      <c r="AH32" s="37">
        <v>0.0</v>
      </c>
      <c r="AI32" s="91">
        <v>1414.0</v>
      </c>
      <c r="AJ32" s="87">
        <v>0.0</v>
      </c>
      <c r="AK32" s="87">
        <v>0.0</v>
      </c>
      <c r="AL32" s="218">
        <v>0.003</v>
      </c>
      <c r="AM32" s="37">
        <v>0.0</v>
      </c>
      <c r="AN32" s="37">
        <v>0.0</v>
      </c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1"/>
      <c r="BE32" s="101"/>
      <c r="BF32" s="101"/>
      <c r="BG32" s="101"/>
      <c r="BH32" s="101"/>
      <c r="BI32" s="101"/>
      <c r="BJ32" s="101"/>
      <c r="BK32" s="101"/>
      <c r="BL32" s="101"/>
      <c r="BM32" s="101"/>
      <c r="BN32" s="101"/>
      <c r="BO32" s="101"/>
      <c r="BP32" s="101"/>
      <c r="BQ32" s="101"/>
      <c r="BR32" s="101"/>
      <c r="BS32" s="101"/>
      <c r="BT32" s="101"/>
      <c r="BU32" s="101"/>
      <c r="BV32" s="101"/>
      <c r="BW32" s="101"/>
      <c r="BX32" s="101"/>
      <c r="BY32" s="101"/>
      <c r="BZ32" s="101"/>
      <c r="CA32" s="101"/>
      <c r="CB32" s="101"/>
      <c r="CC32" s="101"/>
      <c r="CD32" s="101"/>
      <c r="CE32" s="101"/>
      <c r="CF32" s="101"/>
      <c r="CG32" s="101"/>
      <c r="CH32" s="101"/>
      <c r="CI32" s="101"/>
      <c r="CJ32" s="101"/>
      <c r="CK32" s="101"/>
      <c r="CL32" s="101"/>
      <c r="CM32" s="101"/>
      <c r="CN32" s="101"/>
      <c r="CO32" s="101"/>
      <c r="CP32" s="101"/>
      <c r="CQ32" s="101"/>
      <c r="CR32" s="101"/>
      <c r="CS32" s="101"/>
      <c r="CT32" s="101"/>
      <c r="CU32" s="101"/>
      <c r="CV32" s="101"/>
      <c r="CW32" s="101"/>
      <c r="CX32" s="101"/>
      <c r="CY32" s="101"/>
      <c r="CZ32" s="101"/>
      <c r="DA32" s="101"/>
      <c r="DB32" s="101"/>
      <c r="DC32" s="101"/>
      <c r="DD32" s="101"/>
      <c r="DE32" s="101"/>
      <c r="DF32" s="101"/>
      <c r="DG32" s="101"/>
      <c r="DH32" s="101"/>
    </row>
    <row r="33">
      <c r="A33" s="200" t="s">
        <v>51</v>
      </c>
      <c r="B33" s="87">
        <v>47.0</v>
      </c>
      <c r="C33" s="87">
        <v>41.0</v>
      </c>
      <c r="D33" s="87">
        <v>88.0</v>
      </c>
      <c r="E33" s="142">
        <v>0.0087</v>
      </c>
      <c r="F33" s="189">
        <v>0.0093</v>
      </c>
      <c r="G33" s="38">
        <v>0.009</v>
      </c>
      <c r="H33" s="91">
        <v>3642.0</v>
      </c>
      <c r="I33" s="91">
        <v>1467.0</v>
      </c>
      <c r="J33" s="91">
        <v>5109.0</v>
      </c>
      <c r="K33" s="219">
        <v>0.0099</v>
      </c>
      <c r="L33" s="220">
        <v>0.0098</v>
      </c>
      <c r="M33" s="221">
        <v>0.0099</v>
      </c>
      <c r="N33" s="1"/>
      <c r="O33" s="23" t="s">
        <v>51</v>
      </c>
      <c r="P33" s="87">
        <v>44.0</v>
      </c>
      <c r="Q33" s="87">
        <v>30.0</v>
      </c>
      <c r="R33" s="87">
        <v>74.0</v>
      </c>
      <c r="S33" s="69">
        <v>0.0082</v>
      </c>
      <c r="T33" s="180">
        <v>0.0068</v>
      </c>
      <c r="U33" s="187">
        <v>0.0076</v>
      </c>
      <c r="V33" s="91">
        <v>2903.0</v>
      </c>
      <c r="W33" s="91">
        <v>1093.0</v>
      </c>
      <c r="X33" s="91">
        <v>3996.0</v>
      </c>
      <c r="Y33" s="69">
        <v>0.0079</v>
      </c>
      <c r="Z33" s="53">
        <v>0.0073</v>
      </c>
      <c r="AA33" s="69">
        <v>0.0077</v>
      </c>
      <c r="AB33" s="1"/>
      <c r="AC33" s="87">
        <v>8.0</v>
      </c>
      <c r="AD33" s="87">
        <v>0.0</v>
      </c>
      <c r="AE33" s="87">
        <v>0.0</v>
      </c>
      <c r="AF33" s="121">
        <v>0.0017</v>
      </c>
      <c r="AG33" s="37">
        <v>0.0</v>
      </c>
      <c r="AH33" s="37">
        <v>0.0</v>
      </c>
      <c r="AI33" s="87">
        <v>378.0</v>
      </c>
      <c r="AJ33" s="87">
        <v>0.0</v>
      </c>
      <c r="AK33" s="87">
        <v>0.0</v>
      </c>
      <c r="AL33" s="64">
        <v>0.001</v>
      </c>
      <c r="AM33" s="37">
        <v>0.0</v>
      </c>
      <c r="AN33" s="37">
        <v>0.0</v>
      </c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1"/>
      <c r="BG33" s="101"/>
      <c r="BH33" s="101"/>
      <c r="BI33" s="101"/>
      <c r="BJ33" s="101"/>
      <c r="BK33" s="101"/>
      <c r="BL33" s="101"/>
      <c r="BM33" s="101"/>
      <c r="BN33" s="101"/>
      <c r="BO33" s="101"/>
      <c r="BP33" s="101"/>
      <c r="BQ33" s="101"/>
      <c r="BR33" s="101"/>
      <c r="BS33" s="101"/>
      <c r="BT33" s="101"/>
      <c r="BU33" s="101"/>
      <c r="BV33" s="101"/>
      <c r="BW33" s="101"/>
      <c r="BX33" s="101"/>
      <c r="BY33" s="101"/>
      <c r="BZ33" s="101"/>
      <c r="CA33" s="101"/>
      <c r="CB33" s="101"/>
      <c r="CC33" s="101"/>
      <c r="CD33" s="101"/>
      <c r="CE33" s="101"/>
      <c r="CF33" s="101"/>
      <c r="CG33" s="101"/>
      <c r="CH33" s="101"/>
      <c r="CI33" s="101"/>
      <c r="CJ33" s="101"/>
      <c r="CK33" s="101"/>
      <c r="CL33" s="101"/>
      <c r="CM33" s="101"/>
      <c r="CN33" s="101"/>
      <c r="CO33" s="101"/>
      <c r="CP33" s="101"/>
      <c r="CQ33" s="101"/>
      <c r="CR33" s="101"/>
      <c r="CS33" s="101"/>
      <c r="CT33" s="101"/>
      <c r="CU33" s="101"/>
      <c r="CV33" s="101"/>
      <c r="CW33" s="101"/>
      <c r="CX33" s="101"/>
      <c r="CY33" s="101"/>
      <c r="CZ33" s="101"/>
      <c r="DA33" s="101"/>
      <c r="DB33" s="101"/>
      <c r="DC33" s="101"/>
      <c r="DD33" s="101"/>
      <c r="DE33" s="101"/>
      <c r="DF33" s="101"/>
      <c r="DG33" s="101"/>
      <c r="DH33" s="101"/>
    </row>
    <row r="34">
      <c r="A34" s="200" t="s">
        <v>52</v>
      </c>
      <c r="B34" s="87">
        <v>37.0</v>
      </c>
      <c r="C34" s="87">
        <v>58.0</v>
      </c>
      <c r="D34" s="87">
        <v>95.0</v>
      </c>
      <c r="E34" s="222">
        <v>0.0065</v>
      </c>
      <c r="F34" s="223">
        <v>0.0147</v>
      </c>
      <c r="G34" s="198">
        <v>0.0098</v>
      </c>
      <c r="H34" s="91">
        <v>3004.0</v>
      </c>
      <c r="I34" s="91">
        <v>2207.0</v>
      </c>
      <c r="J34" s="91">
        <v>5211.0</v>
      </c>
      <c r="K34" s="69">
        <v>0.0079</v>
      </c>
      <c r="L34" s="132">
        <v>0.0162</v>
      </c>
      <c r="M34" s="69">
        <v>0.0101</v>
      </c>
      <c r="N34" s="1"/>
      <c r="O34" s="23" t="s">
        <v>52</v>
      </c>
      <c r="P34" s="87">
        <v>34.0</v>
      </c>
      <c r="Q34" s="87">
        <v>43.0</v>
      </c>
      <c r="R34" s="87">
        <v>77.0</v>
      </c>
      <c r="S34" s="104">
        <v>0.006</v>
      </c>
      <c r="T34" s="121">
        <v>0.0109</v>
      </c>
      <c r="U34" s="224">
        <v>0.008</v>
      </c>
      <c r="V34" s="91">
        <v>2325.0</v>
      </c>
      <c r="W34" s="91">
        <v>1710.0</v>
      </c>
      <c r="X34" s="91">
        <v>4035.0</v>
      </c>
      <c r="Y34" s="225">
        <v>0.0061</v>
      </c>
      <c r="Z34" s="104">
        <v>0.0126</v>
      </c>
      <c r="AA34" s="192">
        <v>0.0078</v>
      </c>
      <c r="AB34" s="1"/>
      <c r="AC34" s="87">
        <v>7.0</v>
      </c>
      <c r="AD34" s="87">
        <v>0.0</v>
      </c>
      <c r="AE34" s="87">
        <v>0.0</v>
      </c>
      <c r="AF34" s="99">
        <v>0.0017</v>
      </c>
      <c r="AG34" s="37">
        <v>0.0</v>
      </c>
      <c r="AH34" s="37">
        <v>0.0</v>
      </c>
      <c r="AI34" s="87">
        <v>569.0</v>
      </c>
      <c r="AJ34" s="87">
        <v>0.0</v>
      </c>
      <c r="AK34" s="87">
        <v>0.0</v>
      </c>
      <c r="AL34" s="95">
        <v>0.0015</v>
      </c>
      <c r="AM34" s="37">
        <v>0.0</v>
      </c>
      <c r="AN34" s="37">
        <v>0.0</v>
      </c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101"/>
      <c r="BE34" s="101"/>
      <c r="BF34" s="101"/>
      <c r="BG34" s="101"/>
      <c r="BH34" s="101"/>
      <c r="BI34" s="101"/>
      <c r="BJ34" s="101"/>
      <c r="BK34" s="101"/>
      <c r="BL34" s="101"/>
      <c r="BM34" s="101"/>
      <c r="BN34" s="101"/>
      <c r="BO34" s="101"/>
      <c r="BP34" s="101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1"/>
      <c r="CD34" s="101"/>
      <c r="CE34" s="101"/>
      <c r="CF34" s="101"/>
      <c r="CG34" s="101"/>
      <c r="CH34" s="101"/>
      <c r="CI34" s="101"/>
      <c r="CJ34" s="101"/>
      <c r="CK34" s="101"/>
      <c r="CL34" s="101"/>
      <c r="CM34" s="101"/>
      <c r="CN34" s="101"/>
      <c r="CO34" s="101"/>
      <c r="CP34" s="101"/>
      <c r="CQ34" s="101"/>
      <c r="CR34" s="101"/>
      <c r="CS34" s="101"/>
      <c r="CT34" s="101"/>
      <c r="CU34" s="101"/>
      <c r="CV34" s="101"/>
      <c r="CW34" s="101"/>
      <c r="CX34" s="101"/>
      <c r="CY34" s="101"/>
      <c r="CZ34" s="101"/>
      <c r="DA34" s="101"/>
      <c r="DB34" s="101"/>
      <c r="DC34" s="101"/>
      <c r="DD34" s="101"/>
      <c r="DE34" s="101"/>
      <c r="DF34" s="101"/>
      <c r="DG34" s="101"/>
      <c r="DH34" s="101"/>
    </row>
    <row r="35">
      <c r="A35" s="200" t="s">
        <v>53</v>
      </c>
      <c r="B35" s="87">
        <v>34.0</v>
      </c>
      <c r="C35" s="87">
        <v>66.0</v>
      </c>
      <c r="D35" s="87">
        <v>100.0</v>
      </c>
      <c r="E35" s="226">
        <v>0.0067</v>
      </c>
      <c r="F35" s="227">
        <v>0.0127</v>
      </c>
      <c r="G35" s="125">
        <v>0.0098</v>
      </c>
      <c r="H35" s="91">
        <v>2630.0</v>
      </c>
      <c r="I35" s="91">
        <v>2237.0</v>
      </c>
      <c r="J35" s="91">
        <v>4867.0</v>
      </c>
      <c r="K35" s="157">
        <v>0.0084</v>
      </c>
      <c r="L35" s="228">
        <v>0.0137</v>
      </c>
      <c r="M35" s="35">
        <v>0.0102</v>
      </c>
      <c r="N35" s="1"/>
      <c r="O35" s="23" t="s">
        <v>53</v>
      </c>
      <c r="P35" s="87">
        <v>33.0</v>
      </c>
      <c r="Q35" s="87">
        <v>48.0</v>
      </c>
      <c r="R35" s="87">
        <v>81.0</v>
      </c>
      <c r="S35" s="218">
        <v>0.0065</v>
      </c>
      <c r="T35" s="90">
        <v>0.0092</v>
      </c>
      <c r="U35" s="229">
        <v>0.0079</v>
      </c>
      <c r="V35" s="91">
        <v>2595.0</v>
      </c>
      <c r="W35" s="91">
        <v>1528.0</v>
      </c>
      <c r="X35" s="91">
        <v>4123.0</v>
      </c>
      <c r="Y35" s="230">
        <v>0.0082</v>
      </c>
      <c r="Z35" s="231">
        <v>0.0094</v>
      </c>
      <c r="AA35" s="232">
        <v>0.0086</v>
      </c>
      <c r="AB35" s="1"/>
      <c r="AC35" s="87">
        <v>12.0</v>
      </c>
      <c r="AD35" s="87">
        <v>0.0</v>
      </c>
      <c r="AE35" s="87">
        <v>0.0</v>
      </c>
      <c r="AF35" s="227">
        <v>0.0017</v>
      </c>
      <c r="AG35" s="37">
        <v>0.0</v>
      </c>
      <c r="AH35" s="37">
        <v>0.0</v>
      </c>
      <c r="AI35" s="91">
        <v>1083.0</v>
      </c>
      <c r="AJ35" s="87">
        <v>0.0</v>
      </c>
      <c r="AK35" s="87">
        <v>0.0</v>
      </c>
      <c r="AL35" s="233">
        <v>0.0034</v>
      </c>
      <c r="AM35" s="37">
        <v>0.0</v>
      </c>
      <c r="AN35" s="37">
        <v>0.0</v>
      </c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1"/>
      <c r="BE35" s="101"/>
      <c r="BF35" s="101"/>
      <c r="BG35" s="101"/>
      <c r="BH35" s="101"/>
      <c r="BI35" s="101"/>
      <c r="BJ35" s="101"/>
      <c r="BK35" s="101"/>
      <c r="BL35" s="101"/>
      <c r="BM35" s="101"/>
      <c r="BN35" s="101"/>
      <c r="BO35" s="101"/>
      <c r="BP35" s="101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1"/>
      <c r="CD35" s="101"/>
      <c r="CE35" s="101"/>
      <c r="CF35" s="101"/>
      <c r="CG35" s="101"/>
      <c r="CH35" s="101"/>
      <c r="CI35" s="101"/>
      <c r="CJ35" s="101"/>
      <c r="CK35" s="101"/>
      <c r="CL35" s="101"/>
      <c r="CM35" s="101"/>
      <c r="CN35" s="101"/>
      <c r="CO35" s="101"/>
      <c r="CP35" s="101"/>
      <c r="CQ35" s="101"/>
      <c r="CR35" s="101"/>
      <c r="CS35" s="101"/>
      <c r="CT35" s="101"/>
      <c r="CU35" s="101"/>
      <c r="CV35" s="101"/>
      <c r="CW35" s="101"/>
      <c r="CX35" s="101"/>
      <c r="CY35" s="101"/>
      <c r="CZ35" s="101"/>
      <c r="DA35" s="101"/>
      <c r="DB35" s="101"/>
      <c r="DC35" s="101"/>
      <c r="DD35" s="101"/>
      <c r="DE35" s="101"/>
      <c r="DF35" s="101"/>
      <c r="DG35" s="101"/>
      <c r="DH35" s="101"/>
    </row>
    <row r="36">
      <c r="A36" s="234" t="s">
        <v>54</v>
      </c>
      <c r="B36" s="87">
        <v>51.0</v>
      </c>
      <c r="C36" s="87">
        <v>148.0</v>
      </c>
      <c r="D36" s="87">
        <v>199.0</v>
      </c>
      <c r="E36" s="235">
        <v>0.0084</v>
      </c>
      <c r="F36" s="63">
        <v>0.017</v>
      </c>
      <c r="G36" s="53">
        <v>0.0135</v>
      </c>
      <c r="H36" s="91">
        <v>2844.0</v>
      </c>
      <c r="I36" s="91">
        <v>5222.0</v>
      </c>
      <c r="J36" s="91">
        <v>8066.0</v>
      </c>
      <c r="K36" s="236">
        <v>0.0072</v>
      </c>
      <c r="L36" s="237">
        <v>0.018</v>
      </c>
      <c r="M36" s="238">
        <v>0.0118</v>
      </c>
      <c r="N36" s="239"/>
      <c r="O36" s="240" t="s">
        <v>54</v>
      </c>
      <c r="P36" s="87">
        <v>51.0</v>
      </c>
      <c r="Q36" s="87">
        <v>121.0</v>
      </c>
      <c r="R36" s="87">
        <v>172.0</v>
      </c>
      <c r="S36" s="190">
        <v>0.0084</v>
      </c>
      <c r="T36" s="241">
        <v>0.0139</v>
      </c>
      <c r="U36" s="183">
        <v>0.0117</v>
      </c>
      <c r="V36" s="91">
        <v>2844.0</v>
      </c>
      <c r="W36" s="91">
        <v>4330.0</v>
      </c>
      <c r="X36" s="91">
        <v>7174.0</v>
      </c>
      <c r="Y36" s="103">
        <v>0.0072</v>
      </c>
      <c r="Z36" s="151">
        <v>0.015</v>
      </c>
      <c r="AA36" s="189">
        <v>0.0105</v>
      </c>
      <c r="AB36" s="239"/>
      <c r="AC36" s="87">
        <v>18.0</v>
      </c>
      <c r="AD36" s="87">
        <v>0.0</v>
      </c>
      <c r="AE36" s="87">
        <v>0.0</v>
      </c>
      <c r="AF36" s="242">
        <v>0.0017</v>
      </c>
      <c r="AG36" s="37">
        <v>0.0</v>
      </c>
      <c r="AH36" s="37">
        <v>0.0</v>
      </c>
      <c r="AI36" s="91">
        <v>1005.0</v>
      </c>
      <c r="AJ36" s="87">
        <v>0.0</v>
      </c>
      <c r="AK36" s="87">
        <v>0.0</v>
      </c>
      <c r="AL36" s="235">
        <v>0.0025</v>
      </c>
      <c r="AM36" s="37">
        <v>0.0</v>
      </c>
      <c r="AN36" s="37">
        <v>0.0</v>
      </c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1"/>
      <c r="BE36" s="101"/>
      <c r="BF36" s="101"/>
      <c r="BG36" s="101"/>
      <c r="BH36" s="101"/>
      <c r="BI36" s="101"/>
      <c r="BJ36" s="101"/>
      <c r="BK36" s="101"/>
      <c r="BL36" s="101"/>
      <c r="BM36" s="101"/>
      <c r="BN36" s="101"/>
      <c r="BO36" s="101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1"/>
      <c r="CD36" s="101"/>
      <c r="CE36" s="101"/>
      <c r="CF36" s="101"/>
      <c r="CG36" s="101"/>
      <c r="CH36" s="101"/>
      <c r="CI36" s="101"/>
      <c r="CJ36" s="101"/>
      <c r="CK36" s="101"/>
      <c r="CL36" s="101"/>
      <c r="CM36" s="101"/>
      <c r="CN36" s="101"/>
      <c r="CO36" s="101"/>
      <c r="CP36" s="101"/>
      <c r="CQ36" s="101"/>
      <c r="CR36" s="101"/>
      <c r="CS36" s="101"/>
      <c r="CT36" s="101"/>
      <c r="CU36" s="101"/>
      <c r="CV36" s="101"/>
      <c r="CW36" s="101"/>
      <c r="CX36" s="101"/>
      <c r="CY36" s="101"/>
      <c r="CZ36" s="101"/>
      <c r="DA36" s="101"/>
      <c r="DB36" s="101"/>
      <c r="DC36" s="101"/>
      <c r="DD36" s="101"/>
      <c r="DE36" s="101"/>
      <c r="DF36" s="101"/>
      <c r="DG36" s="101"/>
      <c r="DH36" s="101"/>
    </row>
    <row r="37">
      <c r="A37" s="243" t="s">
        <v>55</v>
      </c>
      <c r="B37" s="87">
        <v>22.0</v>
      </c>
      <c r="C37" s="87">
        <v>32.0</v>
      </c>
      <c r="D37" s="87">
        <v>54.0</v>
      </c>
      <c r="E37" s="66">
        <v>0.004</v>
      </c>
      <c r="F37" s="244">
        <v>0.0116</v>
      </c>
      <c r="G37" s="245">
        <v>0.0066</v>
      </c>
      <c r="H37" s="91">
        <v>1675.0</v>
      </c>
      <c r="I37" s="87">
        <v>960.0</v>
      </c>
      <c r="J37" s="91">
        <v>2635.0</v>
      </c>
      <c r="K37" s="104">
        <v>0.0049</v>
      </c>
      <c r="L37" s="246">
        <v>0.0125</v>
      </c>
      <c r="M37" s="104">
        <v>0.0063</v>
      </c>
      <c r="N37" s="1"/>
      <c r="O37" s="243" t="s">
        <v>55</v>
      </c>
      <c r="P37" s="87">
        <v>18.0</v>
      </c>
      <c r="Q37" s="87">
        <v>29.0</v>
      </c>
      <c r="R37" s="87">
        <v>47.0</v>
      </c>
      <c r="S37" s="190">
        <v>0.0033</v>
      </c>
      <c r="T37" s="104">
        <v>0.0105</v>
      </c>
      <c r="U37" s="247">
        <v>0.0057</v>
      </c>
      <c r="V37" s="87">
        <v>995.0</v>
      </c>
      <c r="W37" s="87">
        <v>858.0</v>
      </c>
      <c r="X37" s="91">
        <v>1853.0</v>
      </c>
      <c r="Y37" s="122">
        <v>0.0029</v>
      </c>
      <c r="Z37" s="248">
        <v>0.0111</v>
      </c>
      <c r="AA37" s="172">
        <v>0.0044</v>
      </c>
      <c r="AB37" s="1"/>
      <c r="AC37" s="87">
        <v>2.0</v>
      </c>
      <c r="AD37" s="87">
        <v>0.0</v>
      </c>
      <c r="AE37" s="87">
        <v>0.0</v>
      </c>
      <c r="AF37" s="26">
        <v>0.0017</v>
      </c>
      <c r="AG37" s="37">
        <v>0.0</v>
      </c>
      <c r="AH37" s="37">
        <v>0.0</v>
      </c>
      <c r="AI37" s="87">
        <v>125.0</v>
      </c>
      <c r="AJ37" s="87">
        <v>0.0</v>
      </c>
      <c r="AK37" s="87">
        <v>0.0</v>
      </c>
      <c r="AL37" s="104">
        <v>4.0E-4</v>
      </c>
      <c r="AM37" s="37">
        <v>0.0</v>
      </c>
      <c r="AN37" s="37">
        <v>0.0</v>
      </c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1"/>
      <c r="BE37" s="101"/>
      <c r="BF37" s="101"/>
      <c r="BG37" s="101"/>
      <c r="BH37" s="101"/>
      <c r="BI37" s="101"/>
      <c r="BJ37" s="101"/>
      <c r="BK37" s="101"/>
      <c r="BL37" s="101"/>
      <c r="BM37" s="101"/>
      <c r="BN37" s="101"/>
      <c r="BO37" s="101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1"/>
      <c r="CD37" s="101"/>
      <c r="CE37" s="101"/>
      <c r="CF37" s="101"/>
      <c r="CG37" s="101"/>
      <c r="CH37" s="101"/>
      <c r="CI37" s="101"/>
      <c r="CJ37" s="101"/>
      <c r="CK37" s="101"/>
      <c r="CL37" s="101"/>
      <c r="CM37" s="101"/>
      <c r="CN37" s="101"/>
      <c r="CO37" s="101"/>
      <c r="CP37" s="101"/>
      <c r="CQ37" s="101"/>
      <c r="CR37" s="101"/>
      <c r="CS37" s="101"/>
      <c r="CT37" s="101"/>
      <c r="CU37" s="101"/>
      <c r="CV37" s="101"/>
      <c r="CW37" s="101"/>
      <c r="CX37" s="101"/>
      <c r="CY37" s="101"/>
      <c r="CZ37" s="101"/>
      <c r="DA37" s="101"/>
      <c r="DB37" s="101"/>
      <c r="DC37" s="101"/>
      <c r="DD37" s="101"/>
      <c r="DE37" s="101"/>
      <c r="DF37" s="101"/>
      <c r="DG37" s="101"/>
      <c r="DH37" s="101"/>
    </row>
    <row r="38">
      <c r="A38" s="23" t="s">
        <v>56</v>
      </c>
      <c r="B38" s="87">
        <v>53.0</v>
      </c>
      <c r="C38" s="87">
        <v>27.0</v>
      </c>
      <c r="D38" s="87">
        <v>80.0</v>
      </c>
      <c r="E38" s="249">
        <v>0.0077</v>
      </c>
      <c r="F38" s="250">
        <v>0.0074</v>
      </c>
      <c r="G38" s="43">
        <v>0.0076</v>
      </c>
      <c r="H38" s="91">
        <v>3898.0</v>
      </c>
      <c r="I38" s="91">
        <v>1296.0</v>
      </c>
      <c r="J38" s="91">
        <v>5195.0</v>
      </c>
      <c r="K38" s="236">
        <v>0.0093</v>
      </c>
      <c r="L38" s="251">
        <v>0.0119</v>
      </c>
      <c r="M38" s="252">
        <v>0.0099</v>
      </c>
      <c r="N38" s="1"/>
      <c r="O38" s="23" t="s">
        <v>56</v>
      </c>
      <c r="P38" s="87">
        <v>48.0</v>
      </c>
      <c r="Q38" s="87">
        <v>22.0</v>
      </c>
      <c r="R38" s="87">
        <v>70.0</v>
      </c>
      <c r="S38" s="253">
        <v>0.007</v>
      </c>
      <c r="T38" s="189">
        <v>0.006</v>
      </c>
      <c r="U38" s="49">
        <v>0.0067</v>
      </c>
      <c r="V38" s="91">
        <v>3434.0</v>
      </c>
      <c r="W38" s="91">
        <v>1205.0</v>
      </c>
      <c r="X38" s="91">
        <v>4639.0</v>
      </c>
      <c r="Y38" s="143">
        <v>0.0082</v>
      </c>
      <c r="Z38" s="254">
        <v>0.011</v>
      </c>
      <c r="AA38" s="255">
        <v>0.0088</v>
      </c>
      <c r="AB38" s="1"/>
      <c r="AC38" s="87">
        <v>14.0</v>
      </c>
      <c r="AD38" s="87">
        <v>0.0</v>
      </c>
      <c r="AE38" s="87">
        <v>0.0</v>
      </c>
      <c r="AF38" s="236">
        <v>0.0017</v>
      </c>
      <c r="AG38" s="37">
        <v>0.0</v>
      </c>
      <c r="AH38" s="37">
        <v>0.0</v>
      </c>
      <c r="AI38" s="91">
        <v>1084.0</v>
      </c>
      <c r="AJ38" s="87">
        <v>0.0</v>
      </c>
      <c r="AK38" s="87">
        <v>0.0</v>
      </c>
      <c r="AL38" s="53">
        <v>0.0026</v>
      </c>
      <c r="AM38" s="37">
        <v>0.0</v>
      </c>
      <c r="AN38" s="37">
        <v>0.0</v>
      </c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01"/>
      <c r="CC38" s="101"/>
      <c r="CD38" s="101"/>
      <c r="CE38" s="101"/>
      <c r="CF38" s="101"/>
      <c r="CG38" s="101"/>
      <c r="CH38" s="101"/>
      <c r="CI38" s="101"/>
      <c r="CJ38" s="101"/>
      <c r="CK38" s="101"/>
      <c r="CL38" s="101"/>
      <c r="CM38" s="101"/>
      <c r="CN38" s="101"/>
      <c r="CO38" s="101"/>
      <c r="CP38" s="101"/>
      <c r="CQ38" s="101"/>
      <c r="CR38" s="101"/>
      <c r="CS38" s="101"/>
      <c r="CT38" s="101"/>
      <c r="CU38" s="101"/>
      <c r="CV38" s="101"/>
      <c r="CW38" s="101"/>
      <c r="CX38" s="101"/>
      <c r="CY38" s="101"/>
      <c r="CZ38" s="101"/>
      <c r="DA38" s="101"/>
      <c r="DB38" s="101"/>
      <c r="DC38" s="101"/>
      <c r="DD38" s="101"/>
      <c r="DE38" s="101"/>
      <c r="DF38" s="101"/>
      <c r="DG38" s="101"/>
      <c r="DH38" s="101"/>
    </row>
    <row r="39">
      <c r="A39" s="23" t="s">
        <v>57</v>
      </c>
      <c r="B39" s="87">
        <v>64.0</v>
      </c>
      <c r="C39" s="87">
        <v>76.0</v>
      </c>
      <c r="D39" s="87">
        <v>140.0</v>
      </c>
      <c r="E39" s="256">
        <v>0.0101</v>
      </c>
      <c r="F39" s="220">
        <v>0.0226</v>
      </c>
      <c r="G39" s="257">
        <v>0.0145</v>
      </c>
      <c r="H39" s="91">
        <v>3168.0</v>
      </c>
      <c r="I39" s="91">
        <v>2428.0</v>
      </c>
      <c r="J39" s="91">
        <v>5595.0</v>
      </c>
      <c r="K39" s="155">
        <v>0.0086</v>
      </c>
      <c r="L39" s="53">
        <v>0.0254</v>
      </c>
      <c r="M39" s="32">
        <v>0.0121</v>
      </c>
      <c r="N39" s="1"/>
      <c r="O39" s="23" t="s">
        <v>57</v>
      </c>
      <c r="P39" s="87">
        <v>63.0</v>
      </c>
      <c r="Q39" s="87">
        <v>62.0</v>
      </c>
      <c r="R39" s="87">
        <v>125.0</v>
      </c>
      <c r="S39" s="258">
        <v>0.01</v>
      </c>
      <c r="T39" s="176">
        <v>0.0185</v>
      </c>
      <c r="U39" s="254">
        <v>0.0129</v>
      </c>
      <c r="V39" s="91">
        <v>3108.0</v>
      </c>
      <c r="W39" s="91">
        <v>1860.0</v>
      </c>
      <c r="X39" s="91">
        <v>4968.0</v>
      </c>
      <c r="Y39" s="104">
        <v>0.0085</v>
      </c>
      <c r="Z39" s="182">
        <v>0.0195</v>
      </c>
      <c r="AA39" s="116">
        <v>0.0108</v>
      </c>
      <c r="AB39" s="1"/>
      <c r="AC39" s="87">
        <v>18.0</v>
      </c>
      <c r="AD39" s="87">
        <v>0.0</v>
      </c>
      <c r="AE39" s="87">
        <v>0.0</v>
      </c>
      <c r="AF39" s="53">
        <v>0.0017</v>
      </c>
      <c r="AG39" s="37">
        <v>0.0</v>
      </c>
      <c r="AH39" s="37">
        <v>0.0</v>
      </c>
      <c r="AI39" s="91">
        <v>1011.0</v>
      </c>
      <c r="AJ39" s="87">
        <v>0.0</v>
      </c>
      <c r="AK39" s="87">
        <v>0.0</v>
      </c>
      <c r="AL39" s="259">
        <v>0.0028</v>
      </c>
      <c r="AM39" s="37">
        <v>0.0</v>
      </c>
      <c r="AN39" s="37">
        <v>0.0</v>
      </c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  <c r="CU39" s="101"/>
      <c r="CV39" s="101"/>
      <c r="CW39" s="101"/>
      <c r="CX39" s="101"/>
      <c r="CY39" s="101"/>
      <c r="CZ39" s="101"/>
      <c r="DA39" s="101"/>
      <c r="DB39" s="101"/>
      <c r="DC39" s="101"/>
      <c r="DD39" s="101"/>
      <c r="DE39" s="101"/>
      <c r="DF39" s="101"/>
      <c r="DG39" s="101"/>
      <c r="DH39" s="101"/>
    </row>
    <row r="40">
      <c r="A40" s="23" t="s">
        <v>58</v>
      </c>
      <c r="B40" s="87">
        <v>68.0</v>
      </c>
      <c r="C40" s="87">
        <v>16.0</v>
      </c>
      <c r="D40" s="87">
        <v>84.0</v>
      </c>
      <c r="E40" s="35">
        <v>0.0133</v>
      </c>
      <c r="F40" s="260">
        <v>0.0077</v>
      </c>
      <c r="G40" s="144">
        <v>0.0117</v>
      </c>
      <c r="H40" s="91">
        <v>4562.0</v>
      </c>
      <c r="I40" s="87">
        <v>393.0</v>
      </c>
      <c r="J40" s="91">
        <v>4955.0</v>
      </c>
      <c r="K40" s="209">
        <v>0.0134</v>
      </c>
      <c r="L40" s="69">
        <v>0.0066</v>
      </c>
      <c r="M40" s="69">
        <v>0.0124</v>
      </c>
      <c r="N40" s="1"/>
      <c r="O40" s="23" t="s">
        <v>58</v>
      </c>
      <c r="P40" s="87">
        <v>58.0</v>
      </c>
      <c r="Q40" s="87">
        <v>14.0</v>
      </c>
      <c r="R40" s="87">
        <v>72.0</v>
      </c>
      <c r="S40" s="53">
        <v>0.0113</v>
      </c>
      <c r="T40" s="65">
        <v>0.0067</v>
      </c>
      <c r="U40" s="53">
        <v>0.01</v>
      </c>
      <c r="V40" s="91">
        <v>3992.0</v>
      </c>
      <c r="W40" s="87">
        <v>331.0</v>
      </c>
      <c r="X40" s="91">
        <v>4323.0</v>
      </c>
      <c r="Y40" s="28">
        <v>0.0117</v>
      </c>
      <c r="Z40" s="261">
        <v>0.0056</v>
      </c>
      <c r="AA40" s="53">
        <v>0.0108</v>
      </c>
      <c r="AB40" s="1"/>
      <c r="AC40" s="87">
        <v>13.0</v>
      </c>
      <c r="AD40" s="87">
        <v>0.0</v>
      </c>
      <c r="AE40" s="87">
        <v>0.0</v>
      </c>
      <c r="AF40" s="104">
        <v>0.0017</v>
      </c>
      <c r="AG40" s="37">
        <v>0.0</v>
      </c>
      <c r="AH40" s="37">
        <v>0.0</v>
      </c>
      <c r="AI40" s="87">
        <v>843.0</v>
      </c>
      <c r="AJ40" s="87">
        <v>0.0</v>
      </c>
      <c r="AK40" s="87">
        <v>0.0</v>
      </c>
      <c r="AL40" s="262">
        <v>0.0025</v>
      </c>
      <c r="AM40" s="37">
        <v>0.0</v>
      </c>
      <c r="AN40" s="37">
        <v>0.0</v>
      </c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01"/>
      <c r="CC40" s="101"/>
      <c r="CD40" s="101"/>
      <c r="CE40" s="101"/>
      <c r="CF40" s="101"/>
      <c r="CG40" s="101"/>
      <c r="CH40" s="101"/>
      <c r="CI40" s="101"/>
      <c r="CJ40" s="101"/>
      <c r="CK40" s="101"/>
      <c r="CL40" s="101"/>
      <c r="CM40" s="101"/>
      <c r="CN40" s="101"/>
      <c r="CO40" s="101"/>
      <c r="CP40" s="101"/>
      <c r="CQ40" s="101"/>
      <c r="CR40" s="101"/>
      <c r="CS40" s="101"/>
      <c r="CT40" s="101"/>
      <c r="CU40" s="101"/>
      <c r="CV40" s="101"/>
      <c r="CW40" s="101"/>
      <c r="CX40" s="101"/>
      <c r="CY40" s="101"/>
      <c r="CZ40" s="101"/>
      <c r="DA40" s="101"/>
      <c r="DB40" s="101"/>
      <c r="DC40" s="101"/>
      <c r="DD40" s="101"/>
      <c r="DE40" s="101"/>
      <c r="DF40" s="101"/>
      <c r="DG40" s="101"/>
      <c r="DH40" s="101"/>
    </row>
    <row r="41">
      <c r="A41" s="23" t="s">
        <v>59</v>
      </c>
      <c r="B41" s="87">
        <v>58.0</v>
      </c>
      <c r="C41" s="87">
        <v>13.0</v>
      </c>
      <c r="D41" s="87">
        <v>71.0</v>
      </c>
      <c r="E41" s="53">
        <v>0.012</v>
      </c>
      <c r="F41" s="231">
        <v>0.0055</v>
      </c>
      <c r="G41" s="61">
        <v>0.0099</v>
      </c>
      <c r="H41" s="91">
        <v>3617.0</v>
      </c>
      <c r="I41" s="87">
        <v>360.0</v>
      </c>
      <c r="J41" s="91">
        <v>3976.0</v>
      </c>
      <c r="K41" s="53">
        <v>0.012</v>
      </c>
      <c r="L41" s="231">
        <v>0.0053</v>
      </c>
      <c r="M41" s="53">
        <v>0.0108</v>
      </c>
      <c r="N41" s="1"/>
      <c r="O41" s="23" t="s">
        <v>59</v>
      </c>
      <c r="P41" s="87">
        <v>57.0</v>
      </c>
      <c r="Q41" s="87">
        <v>11.0</v>
      </c>
      <c r="R41" s="87">
        <v>68.0</v>
      </c>
      <c r="S41" s="203">
        <v>0.0118</v>
      </c>
      <c r="T41" s="114">
        <v>0.0047</v>
      </c>
      <c r="U41" s="263">
        <v>0.0095</v>
      </c>
      <c r="V41" s="91">
        <v>3563.0</v>
      </c>
      <c r="W41" s="87">
        <v>326.0</v>
      </c>
      <c r="X41" s="91">
        <v>3888.0</v>
      </c>
      <c r="Y41" s="114">
        <v>0.0119</v>
      </c>
      <c r="Z41" s="264">
        <v>0.0048</v>
      </c>
      <c r="AA41" s="265">
        <v>0.0106</v>
      </c>
      <c r="AB41" s="1"/>
      <c r="AC41" s="87">
        <v>13.0</v>
      </c>
      <c r="AD41" s="87">
        <v>0.0</v>
      </c>
      <c r="AE41" s="87">
        <v>0.0</v>
      </c>
      <c r="AF41" s="94">
        <v>0.0017</v>
      </c>
      <c r="AG41" s="37">
        <v>0.0</v>
      </c>
      <c r="AH41" s="37">
        <v>0.0</v>
      </c>
      <c r="AI41" s="87">
        <v>651.0</v>
      </c>
      <c r="AJ41" s="87">
        <v>0.0</v>
      </c>
      <c r="AK41" s="87">
        <v>0.0</v>
      </c>
      <c r="AL41" s="266">
        <v>0.0022</v>
      </c>
      <c r="AM41" s="37">
        <v>0.0</v>
      </c>
      <c r="AN41" s="37">
        <v>0.0</v>
      </c>
      <c r="AO41" s="101"/>
      <c r="AP41" s="101"/>
      <c r="AQ41" s="10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  <c r="BI41" s="101"/>
      <c r="BJ41" s="101"/>
      <c r="BK41" s="101"/>
      <c r="BL41" s="101"/>
      <c r="BM41" s="101"/>
      <c r="BN41" s="101"/>
      <c r="BO41" s="101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101"/>
      <c r="CC41" s="101"/>
      <c r="CD41" s="101"/>
      <c r="CE41" s="101"/>
      <c r="CF41" s="101"/>
      <c r="CG41" s="101"/>
      <c r="CH41" s="101"/>
      <c r="CI41" s="101"/>
      <c r="CJ41" s="101"/>
      <c r="CK41" s="101"/>
      <c r="CL41" s="101"/>
      <c r="CM41" s="101"/>
      <c r="CN41" s="101"/>
      <c r="CO41" s="101"/>
      <c r="CP41" s="101"/>
      <c r="CQ41" s="101"/>
      <c r="CR41" s="101"/>
      <c r="CS41" s="101"/>
      <c r="CT41" s="101"/>
      <c r="CU41" s="101"/>
      <c r="CV41" s="101"/>
      <c r="CW41" s="101"/>
      <c r="CX41" s="101"/>
      <c r="CY41" s="101"/>
      <c r="CZ41" s="101"/>
      <c r="DA41" s="101"/>
      <c r="DB41" s="101"/>
      <c r="DC41" s="101"/>
      <c r="DD41" s="101"/>
      <c r="DE41" s="101"/>
      <c r="DF41" s="101"/>
      <c r="DG41" s="101"/>
      <c r="DH41" s="101"/>
    </row>
    <row r="42">
      <c r="A42" s="23" t="s">
        <v>60</v>
      </c>
      <c r="B42" s="87">
        <v>41.0</v>
      </c>
      <c r="C42" s="87">
        <v>75.0</v>
      </c>
      <c r="D42" s="87">
        <v>116.0</v>
      </c>
      <c r="E42" s="69">
        <v>0.007</v>
      </c>
      <c r="F42" s="267">
        <v>0.0254</v>
      </c>
      <c r="G42" s="142">
        <v>0.0132</v>
      </c>
      <c r="H42" s="91">
        <v>2603.0</v>
      </c>
      <c r="I42" s="91">
        <v>2087.0</v>
      </c>
      <c r="J42" s="91">
        <v>4690.0</v>
      </c>
      <c r="K42" s="69">
        <v>0.0069</v>
      </c>
      <c r="L42" s="268">
        <v>0.0246</v>
      </c>
      <c r="M42" s="269">
        <v>0.0102</v>
      </c>
      <c r="N42" s="1"/>
      <c r="O42" s="23" t="s">
        <v>60</v>
      </c>
      <c r="P42" s="87">
        <v>38.0</v>
      </c>
      <c r="Q42" s="87">
        <v>65.0</v>
      </c>
      <c r="R42" s="87">
        <v>103.0</v>
      </c>
      <c r="S42" s="270">
        <v>0.0065</v>
      </c>
      <c r="T42" s="271">
        <v>0.0221</v>
      </c>
      <c r="U42" s="272">
        <v>0.0117</v>
      </c>
      <c r="V42" s="91">
        <v>2386.0</v>
      </c>
      <c r="W42" s="91">
        <v>1739.0</v>
      </c>
      <c r="X42" s="91">
        <v>4125.0</v>
      </c>
      <c r="Y42" s="108">
        <v>0.0063</v>
      </c>
      <c r="Z42" s="273">
        <v>0.0205</v>
      </c>
      <c r="AA42" s="92">
        <v>0.0089</v>
      </c>
      <c r="AB42" s="1"/>
      <c r="AC42" s="87">
        <v>4.0</v>
      </c>
      <c r="AD42" s="87">
        <v>0.0</v>
      </c>
      <c r="AE42" s="87">
        <v>0.0</v>
      </c>
      <c r="AF42" s="69">
        <v>0.0017</v>
      </c>
      <c r="AG42" s="37">
        <v>0.0</v>
      </c>
      <c r="AH42" s="37">
        <v>0.0</v>
      </c>
      <c r="AI42" s="87">
        <v>360.0</v>
      </c>
      <c r="AJ42" s="87">
        <v>0.0</v>
      </c>
      <c r="AK42" s="87">
        <v>0.0</v>
      </c>
      <c r="AL42" s="69">
        <v>0.001</v>
      </c>
      <c r="AM42" s="37">
        <v>0.0</v>
      </c>
      <c r="AN42" s="37">
        <v>0.0</v>
      </c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01"/>
      <c r="CC42" s="101"/>
      <c r="CD42" s="101"/>
      <c r="CE42" s="101"/>
      <c r="CF42" s="101"/>
      <c r="CG42" s="101"/>
      <c r="CH42" s="101"/>
      <c r="CI42" s="101"/>
      <c r="CJ42" s="101"/>
      <c r="CK42" s="101"/>
      <c r="CL42" s="101"/>
      <c r="CM42" s="101"/>
      <c r="CN42" s="101"/>
      <c r="CO42" s="101"/>
      <c r="CP42" s="101"/>
      <c r="CQ42" s="101"/>
      <c r="CR42" s="101"/>
      <c r="CS42" s="101"/>
      <c r="CT42" s="101"/>
      <c r="CU42" s="101"/>
      <c r="CV42" s="101"/>
      <c r="CW42" s="101"/>
      <c r="CX42" s="101"/>
      <c r="CY42" s="101"/>
      <c r="CZ42" s="101"/>
      <c r="DA42" s="101"/>
      <c r="DB42" s="101"/>
      <c r="DC42" s="101"/>
      <c r="DD42" s="101"/>
      <c r="DE42" s="101"/>
      <c r="DF42" s="101"/>
      <c r="DG42" s="101"/>
      <c r="DH42" s="101"/>
    </row>
    <row r="43">
      <c r="A43" s="23" t="s">
        <v>61</v>
      </c>
      <c r="B43" s="87">
        <v>52.0</v>
      </c>
      <c r="C43" s="87">
        <v>84.0</v>
      </c>
      <c r="D43" s="87">
        <v>136.0</v>
      </c>
      <c r="E43" s="104">
        <v>0.0113</v>
      </c>
      <c r="F43" s="236">
        <v>0.0131</v>
      </c>
      <c r="G43" s="274">
        <v>0.0124</v>
      </c>
      <c r="H43" s="91">
        <v>3273.0</v>
      </c>
      <c r="I43" s="91">
        <v>2449.0</v>
      </c>
      <c r="J43" s="91">
        <v>5722.0</v>
      </c>
      <c r="K43" s="161">
        <v>0.0119</v>
      </c>
      <c r="L43" s="104">
        <v>0.0134</v>
      </c>
      <c r="M43" s="35">
        <v>0.0125</v>
      </c>
      <c r="N43" s="1"/>
      <c r="O43" s="23" t="s">
        <v>61</v>
      </c>
      <c r="P43" s="87">
        <v>49.0</v>
      </c>
      <c r="Q43" s="87">
        <v>77.0</v>
      </c>
      <c r="R43" s="87">
        <v>126.0</v>
      </c>
      <c r="S43" s="275">
        <v>0.0106</v>
      </c>
      <c r="T43" s="271">
        <v>0.0121</v>
      </c>
      <c r="U43" s="31">
        <v>0.0115</v>
      </c>
      <c r="V43" s="91">
        <v>3023.0</v>
      </c>
      <c r="W43" s="91">
        <v>2279.0</v>
      </c>
      <c r="X43" s="91">
        <v>5302.0</v>
      </c>
      <c r="Y43" s="276">
        <v>0.011</v>
      </c>
      <c r="Z43" s="277">
        <v>0.0124</v>
      </c>
      <c r="AA43" s="46">
        <v>0.0116</v>
      </c>
      <c r="AB43" s="1"/>
      <c r="AC43" s="87">
        <v>12.0</v>
      </c>
      <c r="AD43" s="87">
        <v>0.0</v>
      </c>
      <c r="AE43" s="87">
        <v>0.0</v>
      </c>
      <c r="AF43" s="138">
        <v>0.0017</v>
      </c>
      <c r="AG43" s="37">
        <v>0.0</v>
      </c>
      <c r="AH43" s="37">
        <v>0.0</v>
      </c>
      <c r="AI43" s="87">
        <v>668.0</v>
      </c>
      <c r="AJ43" s="87">
        <v>0.0</v>
      </c>
      <c r="AK43" s="87">
        <v>0.0</v>
      </c>
      <c r="AL43" s="75">
        <v>0.0024</v>
      </c>
      <c r="AM43" s="37">
        <v>0.0</v>
      </c>
      <c r="AN43" s="37">
        <v>0.0</v>
      </c>
      <c r="AO43" s="101"/>
      <c r="AP43" s="101"/>
      <c r="AQ43" s="101"/>
      <c r="AR43" s="101"/>
      <c r="AS43" s="101"/>
      <c r="AT43" s="101"/>
      <c r="AU43" s="101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  <c r="BI43" s="101"/>
      <c r="BJ43" s="101"/>
      <c r="BK43" s="101"/>
      <c r="BL43" s="101"/>
      <c r="BM43" s="101"/>
      <c r="BN43" s="101"/>
      <c r="BO43" s="101"/>
      <c r="BP43" s="101"/>
      <c r="BQ43" s="101"/>
      <c r="BR43" s="101"/>
      <c r="BS43" s="101"/>
      <c r="BT43" s="101"/>
      <c r="BU43" s="101"/>
      <c r="BV43" s="101"/>
      <c r="BW43" s="101"/>
      <c r="BX43" s="101"/>
      <c r="BY43" s="101"/>
      <c r="BZ43" s="101"/>
      <c r="CA43" s="101"/>
      <c r="CB43" s="101"/>
      <c r="CC43" s="101"/>
      <c r="CD43" s="101"/>
      <c r="CE43" s="101"/>
      <c r="CF43" s="101"/>
      <c r="CG43" s="101"/>
      <c r="CH43" s="101"/>
      <c r="CI43" s="101"/>
      <c r="CJ43" s="101"/>
      <c r="CK43" s="101"/>
      <c r="CL43" s="101"/>
      <c r="CM43" s="101"/>
      <c r="CN43" s="101"/>
      <c r="CO43" s="101"/>
      <c r="CP43" s="101"/>
      <c r="CQ43" s="101"/>
      <c r="CR43" s="101"/>
      <c r="CS43" s="101"/>
      <c r="CT43" s="101"/>
      <c r="CU43" s="101"/>
      <c r="CV43" s="101"/>
      <c r="CW43" s="101"/>
      <c r="CX43" s="101"/>
      <c r="CY43" s="101"/>
      <c r="CZ43" s="101"/>
      <c r="DA43" s="101"/>
      <c r="DB43" s="101"/>
      <c r="DC43" s="101"/>
      <c r="DD43" s="101"/>
      <c r="DE43" s="101"/>
      <c r="DF43" s="101"/>
      <c r="DG43" s="101"/>
      <c r="DH43" s="101"/>
    </row>
    <row r="44">
      <c r="A44" s="23" t="s">
        <v>62</v>
      </c>
      <c r="B44" s="87">
        <v>46.0</v>
      </c>
      <c r="C44" s="87">
        <v>12.0</v>
      </c>
      <c r="D44" s="87">
        <v>58.0</v>
      </c>
      <c r="E44" s="278">
        <v>0.0076</v>
      </c>
      <c r="F44" s="95">
        <v>0.007</v>
      </c>
      <c r="G44" s="236">
        <v>0.0075</v>
      </c>
      <c r="H44" s="91">
        <v>3537.0</v>
      </c>
      <c r="I44" s="87">
        <v>311.0</v>
      </c>
      <c r="J44" s="91">
        <v>3848.0</v>
      </c>
      <c r="K44" s="279">
        <v>0.0095</v>
      </c>
      <c r="L44" s="76">
        <v>0.006</v>
      </c>
      <c r="M44" s="168">
        <v>0.009</v>
      </c>
      <c r="N44" s="1"/>
      <c r="O44" s="23" t="s">
        <v>62</v>
      </c>
      <c r="P44" s="87">
        <v>45.0</v>
      </c>
      <c r="Q44" s="87">
        <v>9.0</v>
      </c>
      <c r="R44" s="87">
        <v>54.0</v>
      </c>
      <c r="S44" s="108">
        <v>0.0074</v>
      </c>
      <c r="T44" s="280">
        <v>0.0052</v>
      </c>
      <c r="U44" s="281">
        <v>0.007</v>
      </c>
      <c r="V44" s="91">
        <v>3472.0</v>
      </c>
      <c r="W44" s="87">
        <v>240.0</v>
      </c>
      <c r="X44" s="91">
        <v>3712.0</v>
      </c>
      <c r="Y44" s="282">
        <v>0.0093</v>
      </c>
      <c r="Z44" s="283">
        <v>0.0046</v>
      </c>
      <c r="AA44" s="284">
        <v>0.0087</v>
      </c>
      <c r="AB44" s="1"/>
      <c r="AC44" s="87">
        <v>12.0</v>
      </c>
      <c r="AD44" s="87">
        <v>0.0</v>
      </c>
      <c r="AE44" s="87">
        <v>0.0</v>
      </c>
      <c r="AF44" s="218">
        <v>0.0017</v>
      </c>
      <c r="AG44" s="37">
        <v>0.0</v>
      </c>
      <c r="AH44" s="37">
        <v>0.0</v>
      </c>
      <c r="AI44" s="87">
        <v>768.0</v>
      </c>
      <c r="AJ44" s="87">
        <v>0.0</v>
      </c>
      <c r="AK44" s="87">
        <v>0.0</v>
      </c>
      <c r="AL44" s="205">
        <v>0.0021</v>
      </c>
      <c r="AM44" s="37">
        <v>0.0</v>
      </c>
      <c r="AN44" s="37">
        <v>0.0</v>
      </c>
      <c r="AO44" s="101"/>
      <c r="AP44" s="101"/>
      <c r="AQ44" s="101"/>
      <c r="AR44" s="101"/>
      <c r="AS44" s="101"/>
      <c r="AT44" s="101"/>
      <c r="AU44" s="101"/>
      <c r="AV44" s="101"/>
      <c r="AW44" s="101"/>
      <c r="AX44" s="101"/>
      <c r="AY44" s="101"/>
      <c r="AZ44" s="101"/>
      <c r="BA44" s="101"/>
      <c r="BB44" s="101"/>
      <c r="BC44" s="101"/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1"/>
      <c r="BS44" s="101"/>
      <c r="BT44" s="101"/>
      <c r="BU44" s="101"/>
      <c r="BV44" s="101"/>
      <c r="BW44" s="101"/>
      <c r="BX44" s="101"/>
      <c r="BY44" s="101"/>
      <c r="BZ44" s="101"/>
      <c r="CA44" s="101"/>
      <c r="CB44" s="101"/>
      <c r="CC44" s="101"/>
      <c r="CD44" s="101"/>
      <c r="CE44" s="101"/>
      <c r="CF44" s="101"/>
      <c r="CG44" s="101"/>
      <c r="CH44" s="101"/>
      <c r="CI44" s="101"/>
      <c r="CJ44" s="101"/>
      <c r="CK44" s="101"/>
      <c r="CL44" s="101"/>
      <c r="CM44" s="101"/>
      <c r="CN44" s="101"/>
      <c r="CO44" s="101"/>
      <c r="CP44" s="101"/>
      <c r="CQ44" s="101"/>
      <c r="CR44" s="101"/>
      <c r="CS44" s="101"/>
      <c r="CT44" s="101"/>
      <c r="CU44" s="101"/>
      <c r="CV44" s="101"/>
      <c r="CW44" s="101"/>
      <c r="CX44" s="101"/>
      <c r="CY44" s="101"/>
      <c r="CZ44" s="101"/>
      <c r="DA44" s="101"/>
      <c r="DB44" s="101"/>
      <c r="DC44" s="101"/>
      <c r="DD44" s="101"/>
      <c r="DE44" s="101"/>
      <c r="DF44" s="101"/>
      <c r="DG44" s="101"/>
      <c r="DH44" s="101"/>
    </row>
    <row r="45">
      <c r="A45" s="23" t="s">
        <v>63</v>
      </c>
      <c r="B45" s="87">
        <v>65.0</v>
      </c>
      <c r="C45" s="87">
        <v>102.0</v>
      </c>
      <c r="D45" s="87">
        <v>167.0</v>
      </c>
      <c r="E45" s="285">
        <v>0.0105</v>
      </c>
      <c r="F45" s="286">
        <v>0.0245</v>
      </c>
      <c r="G45" s="287">
        <v>0.0161</v>
      </c>
      <c r="H45" s="91">
        <v>4220.0</v>
      </c>
      <c r="I45" s="91">
        <v>2975.0</v>
      </c>
      <c r="J45" s="91">
        <v>7195.0</v>
      </c>
      <c r="K45" s="288">
        <v>0.0117</v>
      </c>
      <c r="L45" s="183">
        <v>0.0248</v>
      </c>
      <c r="M45" s="288">
        <v>0.015</v>
      </c>
      <c r="N45" s="1"/>
      <c r="O45" s="23" t="s">
        <v>63</v>
      </c>
      <c r="P45" s="87">
        <v>59.0</v>
      </c>
      <c r="Q45" s="87">
        <v>85.0</v>
      </c>
      <c r="R45" s="87">
        <v>144.0</v>
      </c>
      <c r="S45" s="186">
        <v>0.0095</v>
      </c>
      <c r="T45" s="289">
        <v>0.0204</v>
      </c>
      <c r="U45" s="290">
        <v>0.0139</v>
      </c>
      <c r="V45" s="91">
        <v>3906.0</v>
      </c>
      <c r="W45" s="91">
        <v>2366.0</v>
      </c>
      <c r="X45" s="91">
        <v>6272.0</v>
      </c>
      <c r="Y45" s="53">
        <v>0.0109</v>
      </c>
      <c r="Z45" s="197">
        <v>0.0197</v>
      </c>
      <c r="AA45" s="291">
        <v>0.0131</v>
      </c>
      <c r="AB45" s="1"/>
      <c r="AC45" s="87">
        <v>18.0</v>
      </c>
      <c r="AD45" s="87">
        <v>0.0</v>
      </c>
      <c r="AE45" s="87">
        <v>0.0</v>
      </c>
      <c r="AF45" s="160">
        <v>0.0017</v>
      </c>
      <c r="AG45" s="37">
        <v>0.0</v>
      </c>
      <c r="AH45" s="37">
        <v>0.0</v>
      </c>
      <c r="AI45" s="91">
        <v>1400.0</v>
      </c>
      <c r="AJ45" s="87">
        <v>0.0</v>
      </c>
      <c r="AK45" s="87">
        <v>0.0</v>
      </c>
      <c r="AL45" s="172">
        <v>0.0039</v>
      </c>
      <c r="AM45" s="37">
        <v>0.0</v>
      </c>
      <c r="AN45" s="37">
        <v>0.0</v>
      </c>
      <c r="AO45" s="101"/>
      <c r="AP45" s="101"/>
      <c r="AQ45" s="101"/>
      <c r="AR45" s="101"/>
      <c r="AS45" s="101"/>
      <c r="AT45" s="101"/>
      <c r="AU45" s="101"/>
      <c r="AV45" s="101"/>
      <c r="AW45" s="101"/>
      <c r="AX45" s="101"/>
      <c r="AY45" s="101"/>
      <c r="AZ45" s="101"/>
      <c r="BA45" s="101"/>
      <c r="BB45" s="101"/>
      <c r="BC45" s="101"/>
      <c r="BD45" s="101"/>
      <c r="BE45" s="101"/>
      <c r="BF45" s="101"/>
      <c r="BG45" s="101"/>
      <c r="BH45" s="101"/>
      <c r="BI45" s="101"/>
      <c r="BJ45" s="101"/>
      <c r="BK45" s="101"/>
      <c r="BL45" s="101"/>
      <c r="BM45" s="101"/>
      <c r="BN45" s="101"/>
      <c r="BO45" s="101"/>
      <c r="BP45" s="101"/>
      <c r="BQ45" s="101"/>
      <c r="BR45" s="101"/>
      <c r="BS45" s="101"/>
      <c r="BT45" s="101"/>
      <c r="BU45" s="101"/>
      <c r="BV45" s="101"/>
      <c r="BW45" s="101"/>
      <c r="BX45" s="101"/>
      <c r="BY45" s="101"/>
      <c r="BZ45" s="101"/>
      <c r="CA45" s="101"/>
      <c r="CB45" s="101"/>
      <c r="CC45" s="101"/>
      <c r="CD45" s="101"/>
      <c r="CE45" s="101"/>
      <c r="CF45" s="101"/>
      <c r="CG45" s="101"/>
      <c r="CH45" s="101"/>
      <c r="CI45" s="101"/>
      <c r="CJ45" s="101"/>
      <c r="CK45" s="101"/>
      <c r="CL45" s="101"/>
      <c r="CM45" s="101"/>
      <c r="CN45" s="101"/>
      <c r="CO45" s="101"/>
      <c r="CP45" s="101"/>
      <c r="CQ45" s="101"/>
      <c r="CR45" s="101"/>
      <c r="CS45" s="101"/>
      <c r="CT45" s="101"/>
      <c r="CU45" s="101"/>
      <c r="CV45" s="101"/>
      <c r="CW45" s="101"/>
      <c r="CX45" s="101"/>
      <c r="CY45" s="101"/>
      <c r="CZ45" s="101"/>
      <c r="DA45" s="101"/>
      <c r="DB45" s="101"/>
      <c r="DC45" s="101"/>
      <c r="DD45" s="101"/>
      <c r="DE45" s="101"/>
      <c r="DF45" s="101"/>
      <c r="DG45" s="101"/>
      <c r="DH45" s="101"/>
    </row>
    <row r="46">
      <c r="A46" s="23" t="s">
        <v>64</v>
      </c>
      <c r="B46" s="87">
        <v>47.0</v>
      </c>
      <c r="C46" s="87">
        <v>50.0</v>
      </c>
      <c r="D46" s="87">
        <v>97.0</v>
      </c>
      <c r="E46" s="187">
        <v>0.0075</v>
      </c>
      <c r="F46" s="292">
        <v>0.0173</v>
      </c>
      <c r="G46" s="293">
        <v>0.0105</v>
      </c>
      <c r="H46" s="91">
        <v>2884.0</v>
      </c>
      <c r="I46" s="91">
        <v>1482.0</v>
      </c>
      <c r="J46" s="91">
        <v>4366.0</v>
      </c>
      <c r="K46" s="192">
        <v>0.0076</v>
      </c>
      <c r="L46" s="156">
        <v>0.0175</v>
      </c>
      <c r="M46" s="294">
        <v>0.0094</v>
      </c>
      <c r="N46" s="1"/>
      <c r="O46" s="23" t="s">
        <v>64</v>
      </c>
      <c r="P46" s="87">
        <v>47.0</v>
      </c>
      <c r="Q46" s="87">
        <v>45.0</v>
      </c>
      <c r="R46" s="87">
        <v>92.0</v>
      </c>
      <c r="S46" s="99">
        <v>0.0075</v>
      </c>
      <c r="T46" s="69">
        <v>0.0155</v>
      </c>
      <c r="U46" s="69">
        <v>0.01</v>
      </c>
      <c r="V46" s="91">
        <v>2884.0</v>
      </c>
      <c r="W46" s="91">
        <v>1348.0</v>
      </c>
      <c r="X46" s="91">
        <v>4232.0</v>
      </c>
      <c r="Y46" s="69">
        <v>0.0076</v>
      </c>
      <c r="Z46" s="69">
        <v>0.0159</v>
      </c>
      <c r="AA46" s="69">
        <v>0.0091</v>
      </c>
      <c r="AB46" s="1"/>
      <c r="AC46" s="87">
        <v>11.0</v>
      </c>
      <c r="AD46" s="87">
        <v>0.0</v>
      </c>
      <c r="AE46" s="87">
        <v>0.0</v>
      </c>
      <c r="AF46" s="295">
        <v>0.0017</v>
      </c>
      <c r="AG46" s="37">
        <v>0.0</v>
      </c>
      <c r="AH46" s="37">
        <v>0.0</v>
      </c>
      <c r="AI46" s="87">
        <v>694.0</v>
      </c>
      <c r="AJ46" s="87">
        <v>0.0</v>
      </c>
      <c r="AK46" s="87">
        <v>0.0</v>
      </c>
      <c r="AL46" s="296">
        <v>0.0018</v>
      </c>
      <c r="AM46" s="37">
        <v>0.0</v>
      </c>
      <c r="AN46" s="37">
        <v>0.0</v>
      </c>
      <c r="AO46" s="101"/>
      <c r="AP46" s="101"/>
      <c r="AQ46" s="101"/>
      <c r="AR46" s="101"/>
      <c r="AS46" s="101"/>
      <c r="AT46" s="101"/>
      <c r="AU46" s="101"/>
      <c r="AV46" s="101"/>
      <c r="AW46" s="101"/>
      <c r="AX46" s="101"/>
      <c r="AY46" s="101"/>
      <c r="AZ46" s="101"/>
      <c r="BA46" s="101"/>
      <c r="BB46" s="101"/>
      <c r="BC46" s="101"/>
      <c r="BD46" s="101"/>
      <c r="BE46" s="101"/>
      <c r="BF46" s="101"/>
      <c r="BG46" s="101"/>
      <c r="BH46" s="101"/>
      <c r="BI46" s="101"/>
      <c r="BJ46" s="101"/>
      <c r="BK46" s="101"/>
      <c r="BL46" s="101"/>
      <c r="BM46" s="101"/>
      <c r="BN46" s="101"/>
      <c r="BO46" s="101"/>
      <c r="BP46" s="101"/>
      <c r="BQ46" s="101"/>
      <c r="BR46" s="101"/>
      <c r="BS46" s="101"/>
      <c r="BT46" s="101"/>
      <c r="BU46" s="101"/>
      <c r="BV46" s="101"/>
      <c r="BW46" s="101"/>
      <c r="BX46" s="101"/>
      <c r="BY46" s="101"/>
      <c r="BZ46" s="101"/>
      <c r="CA46" s="101"/>
      <c r="CB46" s="101"/>
      <c r="CC46" s="101"/>
      <c r="CD46" s="101"/>
      <c r="CE46" s="101"/>
      <c r="CF46" s="101"/>
      <c r="CG46" s="101"/>
      <c r="CH46" s="101"/>
      <c r="CI46" s="101"/>
      <c r="CJ46" s="101"/>
      <c r="CK46" s="101"/>
      <c r="CL46" s="101"/>
      <c r="CM46" s="101"/>
      <c r="CN46" s="101"/>
      <c r="CO46" s="101"/>
      <c r="CP46" s="101"/>
      <c r="CQ46" s="101"/>
      <c r="CR46" s="101"/>
      <c r="CS46" s="101"/>
      <c r="CT46" s="101"/>
      <c r="CU46" s="101"/>
      <c r="CV46" s="101"/>
      <c r="CW46" s="101"/>
      <c r="CX46" s="101"/>
      <c r="CY46" s="101"/>
      <c r="CZ46" s="101"/>
      <c r="DA46" s="101"/>
      <c r="DB46" s="101"/>
      <c r="DC46" s="101"/>
      <c r="DD46" s="101"/>
      <c r="DE46" s="101"/>
      <c r="DF46" s="101"/>
      <c r="DG46" s="101"/>
      <c r="DH46" s="101"/>
    </row>
    <row r="47">
      <c r="A47" s="23" t="s">
        <v>65</v>
      </c>
      <c r="B47" s="87">
        <v>54.0</v>
      </c>
      <c r="C47" s="87">
        <v>65.0</v>
      </c>
      <c r="D47" s="87">
        <v>119.0</v>
      </c>
      <c r="E47" s="126">
        <v>0.0081</v>
      </c>
      <c r="F47" s="297">
        <v>0.0223</v>
      </c>
      <c r="G47" s="298">
        <v>0.0124</v>
      </c>
      <c r="H47" s="91">
        <v>3426.0</v>
      </c>
      <c r="I47" s="91">
        <v>1839.0</v>
      </c>
      <c r="J47" s="91">
        <v>5265.0</v>
      </c>
      <c r="K47" s="164">
        <v>0.0085</v>
      </c>
      <c r="L47" s="299">
        <v>0.0216</v>
      </c>
      <c r="M47" s="300">
        <v>0.0107</v>
      </c>
      <c r="N47" s="1"/>
      <c r="O47" s="23" t="s">
        <v>65</v>
      </c>
      <c r="P47" s="87">
        <v>47.0</v>
      </c>
      <c r="Q47" s="87">
        <v>54.0</v>
      </c>
      <c r="R47" s="87">
        <v>101.0</v>
      </c>
      <c r="S47" s="301">
        <v>0.0071</v>
      </c>
      <c r="T47" s="302">
        <v>0.0185</v>
      </c>
      <c r="U47" s="197">
        <v>0.0105</v>
      </c>
      <c r="V47" s="91">
        <v>2876.0</v>
      </c>
      <c r="W47" s="91">
        <v>1494.0</v>
      </c>
      <c r="X47" s="91">
        <v>4370.0</v>
      </c>
      <c r="Y47" s="266">
        <v>0.0071</v>
      </c>
      <c r="Z47" s="303">
        <v>0.0175</v>
      </c>
      <c r="AA47" s="76">
        <v>0.0089</v>
      </c>
      <c r="AB47" s="1"/>
      <c r="AC47" s="87">
        <v>6.0</v>
      </c>
      <c r="AD47" s="87">
        <v>0.0</v>
      </c>
      <c r="AE47" s="87">
        <v>0.0</v>
      </c>
      <c r="AF47" s="304">
        <v>0.0017</v>
      </c>
      <c r="AG47" s="37">
        <v>0.0</v>
      </c>
      <c r="AH47" s="37">
        <v>0.0</v>
      </c>
      <c r="AI47" s="87">
        <v>435.0</v>
      </c>
      <c r="AJ47" s="87">
        <v>0.0</v>
      </c>
      <c r="AK47" s="87">
        <v>0.0</v>
      </c>
      <c r="AL47" s="119">
        <v>0.0011</v>
      </c>
      <c r="AM47" s="37">
        <v>0.0</v>
      </c>
      <c r="AN47" s="37">
        <v>0.0</v>
      </c>
      <c r="AO47" s="101"/>
      <c r="AP47" s="101"/>
      <c r="AQ47" s="101"/>
      <c r="AR47" s="101"/>
      <c r="AS47" s="101"/>
      <c r="AT47" s="101"/>
      <c r="AU47" s="101"/>
      <c r="AV47" s="101"/>
      <c r="AW47" s="101"/>
      <c r="AX47" s="101"/>
      <c r="AY47" s="101"/>
      <c r="AZ47" s="101"/>
      <c r="BA47" s="101"/>
      <c r="BB47" s="101"/>
      <c r="BC47" s="101"/>
      <c r="BD47" s="101"/>
      <c r="BE47" s="101"/>
      <c r="BF47" s="101"/>
      <c r="BG47" s="101"/>
      <c r="BH47" s="101"/>
      <c r="BI47" s="101"/>
      <c r="BJ47" s="101"/>
      <c r="BK47" s="101"/>
      <c r="BL47" s="101"/>
      <c r="BM47" s="101"/>
      <c r="BN47" s="101"/>
      <c r="BO47" s="101"/>
      <c r="BP47" s="101"/>
      <c r="BQ47" s="101"/>
      <c r="BR47" s="101"/>
      <c r="BS47" s="101"/>
      <c r="BT47" s="101"/>
      <c r="BU47" s="101"/>
      <c r="BV47" s="101"/>
      <c r="BW47" s="101"/>
      <c r="BX47" s="101"/>
      <c r="BY47" s="101"/>
      <c r="BZ47" s="101"/>
      <c r="CA47" s="101"/>
      <c r="CB47" s="101"/>
      <c r="CC47" s="101"/>
      <c r="CD47" s="101"/>
      <c r="CE47" s="101"/>
      <c r="CF47" s="101"/>
      <c r="CG47" s="101"/>
      <c r="CH47" s="101"/>
      <c r="CI47" s="101"/>
      <c r="CJ47" s="101"/>
      <c r="CK47" s="101"/>
      <c r="CL47" s="101"/>
      <c r="CM47" s="101"/>
      <c r="CN47" s="101"/>
      <c r="CO47" s="101"/>
      <c r="CP47" s="101"/>
      <c r="CQ47" s="101"/>
      <c r="CR47" s="101"/>
      <c r="CS47" s="101"/>
      <c r="CT47" s="101"/>
      <c r="CU47" s="101"/>
      <c r="CV47" s="101"/>
      <c r="CW47" s="101"/>
      <c r="CX47" s="101"/>
      <c r="CY47" s="101"/>
      <c r="CZ47" s="101"/>
      <c r="DA47" s="101"/>
      <c r="DB47" s="101"/>
      <c r="DC47" s="101"/>
      <c r="DD47" s="101"/>
      <c r="DE47" s="101"/>
      <c r="DF47" s="101"/>
      <c r="DG47" s="101"/>
      <c r="DH47" s="101"/>
    </row>
    <row r="48">
      <c r="A48" s="23" t="s">
        <v>66</v>
      </c>
      <c r="B48" s="87">
        <v>55.0</v>
      </c>
      <c r="C48" s="87">
        <v>87.0</v>
      </c>
      <c r="D48" s="87">
        <v>142.0</v>
      </c>
      <c r="E48" s="107">
        <v>0.01</v>
      </c>
      <c r="F48" s="305">
        <v>0.0263</v>
      </c>
      <c r="G48" s="287">
        <v>0.0161</v>
      </c>
      <c r="H48" s="91">
        <v>2998.0</v>
      </c>
      <c r="I48" s="91">
        <v>3361.0</v>
      </c>
      <c r="J48" s="91">
        <v>6358.0</v>
      </c>
      <c r="K48" s="108">
        <v>0.0085</v>
      </c>
      <c r="L48" s="53">
        <v>0.0337</v>
      </c>
      <c r="M48" s="64">
        <v>0.014</v>
      </c>
      <c r="N48" s="1"/>
      <c r="O48" s="23" t="s">
        <v>66</v>
      </c>
      <c r="P48" s="87">
        <v>54.0</v>
      </c>
      <c r="Q48" s="87">
        <v>71.0</v>
      </c>
      <c r="R48" s="87">
        <v>125.0</v>
      </c>
      <c r="S48" s="53">
        <v>0.0098</v>
      </c>
      <c r="T48" s="53">
        <v>0.0214</v>
      </c>
      <c r="U48" s="53">
        <v>0.0142</v>
      </c>
      <c r="V48" s="91">
        <v>2978.0</v>
      </c>
      <c r="W48" s="91">
        <v>2558.0</v>
      </c>
      <c r="X48" s="91">
        <v>5535.0</v>
      </c>
      <c r="Y48" s="53">
        <v>0.0084</v>
      </c>
      <c r="Z48" s="53">
        <v>0.0257</v>
      </c>
      <c r="AA48" s="53">
        <v>0.0122</v>
      </c>
      <c r="AB48" s="1"/>
      <c r="AC48" s="87">
        <v>17.0</v>
      </c>
      <c r="AD48" s="87">
        <v>0.0</v>
      </c>
      <c r="AE48" s="87">
        <v>0.0</v>
      </c>
      <c r="AF48" s="306">
        <v>0.0017</v>
      </c>
      <c r="AG48" s="37">
        <v>0.0</v>
      </c>
      <c r="AH48" s="37">
        <v>0.0</v>
      </c>
      <c r="AI48" s="91">
        <v>1090.0</v>
      </c>
      <c r="AJ48" s="87">
        <v>0.0</v>
      </c>
      <c r="AK48" s="87">
        <v>0.0</v>
      </c>
      <c r="AL48" s="33">
        <v>0.0031</v>
      </c>
      <c r="AM48" s="37">
        <v>0.0</v>
      </c>
      <c r="AN48" s="37">
        <v>0.0</v>
      </c>
      <c r="AO48" s="101"/>
      <c r="AP48" s="101"/>
      <c r="AQ48" s="101"/>
      <c r="AR48" s="101"/>
      <c r="AS48" s="101"/>
      <c r="AT48" s="101"/>
      <c r="AU48" s="101"/>
      <c r="AV48" s="101"/>
      <c r="AW48" s="101"/>
      <c r="AX48" s="101"/>
      <c r="AY48" s="101"/>
      <c r="AZ48" s="101"/>
      <c r="BA48" s="101"/>
      <c r="BB48" s="101"/>
      <c r="BC48" s="101"/>
      <c r="BD48" s="101"/>
      <c r="BE48" s="101"/>
      <c r="BF48" s="101"/>
      <c r="BG48" s="101"/>
      <c r="BH48" s="101"/>
      <c r="BI48" s="101"/>
      <c r="BJ48" s="101"/>
      <c r="BK48" s="101"/>
      <c r="BL48" s="101"/>
      <c r="BM48" s="101"/>
      <c r="BN48" s="101"/>
      <c r="BO48" s="101"/>
      <c r="BP48" s="101"/>
      <c r="BQ48" s="101"/>
      <c r="BR48" s="101"/>
      <c r="BS48" s="101"/>
      <c r="BT48" s="101"/>
      <c r="BU48" s="101"/>
      <c r="BV48" s="101"/>
      <c r="BW48" s="101"/>
      <c r="BX48" s="101"/>
      <c r="BY48" s="101"/>
      <c r="BZ48" s="101"/>
      <c r="CA48" s="101"/>
      <c r="CB48" s="101"/>
      <c r="CC48" s="101"/>
      <c r="CD48" s="101"/>
      <c r="CE48" s="101"/>
      <c r="CF48" s="101"/>
      <c r="CG48" s="101"/>
      <c r="CH48" s="101"/>
      <c r="CI48" s="101"/>
      <c r="CJ48" s="101"/>
      <c r="CK48" s="101"/>
      <c r="CL48" s="101"/>
      <c r="CM48" s="101"/>
      <c r="CN48" s="101"/>
      <c r="CO48" s="101"/>
      <c r="CP48" s="101"/>
      <c r="CQ48" s="101"/>
      <c r="CR48" s="101"/>
      <c r="CS48" s="101"/>
      <c r="CT48" s="101"/>
      <c r="CU48" s="101"/>
      <c r="CV48" s="101"/>
      <c r="CW48" s="101"/>
      <c r="CX48" s="101"/>
      <c r="CY48" s="101"/>
      <c r="CZ48" s="101"/>
      <c r="DA48" s="101"/>
      <c r="DB48" s="101"/>
      <c r="DC48" s="101"/>
      <c r="DD48" s="101"/>
      <c r="DE48" s="101"/>
      <c r="DF48" s="101"/>
      <c r="DG48" s="101"/>
      <c r="DH48" s="101"/>
    </row>
    <row r="49">
      <c r="A49" s="23" t="s">
        <v>67</v>
      </c>
      <c r="B49" s="87">
        <v>52.0</v>
      </c>
      <c r="C49" s="87">
        <v>115.0</v>
      </c>
      <c r="D49" s="87">
        <v>167.0</v>
      </c>
      <c r="E49" s="53">
        <v>0.0115</v>
      </c>
      <c r="F49" s="307">
        <v>0.0202</v>
      </c>
      <c r="G49" s="53">
        <v>0.0163</v>
      </c>
      <c r="H49" s="91">
        <v>3639.0</v>
      </c>
      <c r="I49" s="91">
        <v>3716.0</v>
      </c>
      <c r="J49" s="91">
        <v>7354.0</v>
      </c>
      <c r="K49" s="28">
        <v>0.0115</v>
      </c>
      <c r="L49" s="308">
        <v>0.0208</v>
      </c>
      <c r="M49" s="53">
        <v>0.0148</v>
      </c>
      <c r="N49" s="1"/>
      <c r="O49" s="23" t="s">
        <v>67</v>
      </c>
      <c r="P49" s="87">
        <v>48.0</v>
      </c>
      <c r="Q49" s="87">
        <v>106.0</v>
      </c>
      <c r="R49" s="87">
        <v>154.0</v>
      </c>
      <c r="S49" s="142">
        <v>0.0106</v>
      </c>
      <c r="T49" s="277">
        <v>0.0186</v>
      </c>
      <c r="U49" s="61">
        <v>0.0151</v>
      </c>
      <c r="V49" s="91">
        <v>3505.0</v>
      </c>
      <c r="W49" s="91">
        <v>3433.0</v>
      </c>
      <c r="X49" s="91">
        <v>6938.0</v>
      </c>
      <c r="Y49" s="188">
        <v>0.011</v>
      </c>
      <c r="Z49" s="192">
        <v>0.0192</v>
      </c>
      <c r="AA49" s="104">
        <v>0.014</v>
      </c>
      <c r="AB49" s="1"/>
      <c r="AC49" s="87">
        <v>12.0</v>
      </c>
      <c r="AD49" s="87">
        <v>0.0</v>
      </c>
      <c r="AE49" s="87">
        <v>0.0</v>
      </c>
      <c r="AF49" s="309">
        <v>0.0017</v>
      </c>
      <c r="AG49" s="37">
        <v>0.0</v>
      </c>
      <c r="AH49" s="37">
        <v>0.0</v>
      </c>
      <c r="AI49" s="87">
        <v>738.0</v>
      </c>
      <c r="AJ49" s="87">
        <v>0.0</v>
      </c>
      <c r="AK49" s="87">
        <v>0.0</v>
      </c>
      <c r="AL49" s="209">
        <v>0.0023</v>
      </c>
      <c r="AM49" s="37">
        <v>0.0</v>
      </c>
      <c r="AN49" s="37">
        <v>0.0</v>
      </c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1"/>
      <c r="BK49" s="101"/>
      <c r="BL49" s="101"/>
      <c r="BM49" s="101"/>
      <c r="BN49" s="101"/>
      <c r="BO49" s="101"/>
      <c r="BP49" s="101"/>
      <c r="BQ49" s="101"/>
      <c r="BR49" s="101"/>
      <c r="BS49" s="101"/>
      <c r="BT49" s="101"/>
      <c r="BU49" s="101"/>
      <c r="BV49" s="101"/>
      <c r="BW49" s="101"/>
      <c r="BX49" s="101"/>
      <c r="BY49" s="101"/>
      <c r="BZ49" s="101"/>
      <c r="CA49" s="101"/>
      <c r="CB49" s="101"/>
      <c r="CC49" s="101"/>
      <c r="CD49" s="101"/>
      <c r="CE49" s="101"/>
      <c r="CF49" s="101"/>
      <c r="CG49" s="101"/>
      <c r="CH49" s="101"/>
      <c r="CI49" s="101"/>
      <c r="CJ49" s="101"/>
      <c r="CK49" s="101"/>
      <c r="CL49" s="101"/>
      <c r="CM49" s="101"/>
      <c r="CN49" s="101"/>
      <c r="CO49" s="101"/>
      <c r="CP49" s="101"/>
      <c r="CQ49" s="101"/>
      <c r="CR49" s="101"/>
      <c r="CS49" s="101"/>
      <c r="CT49" s="101"/>
      <c r="CU49" s="101"/>
      <c r="CV49" s="101"/>
      <c r="CW49" s="101"/>
      <c r="CX49" s="101"/>
      <c r="CY49" s="101"/>
      <c r="CZ49" s="101"/>
      <c r="DA49" s="101"/>
      <c r="DB49" s="101"/>
      <c r="DC49" s="101"/>
      <c r="DD49" s="101"/>
      <c r="DE49" s="101"/>
      <c r="DF49" s="101"/>
      <c r="DG49" s="101"/>
      <c r="DH49" s="101"/>
    </row>
    <row r="50">
      <c r="A50" s="23" t="s">
        <v>68</v>
      </c>
      <c r="B50" s="87">
        <v>54.0</v>
      </c>
      <c r="C50" s="87">
        <v>156.0</v>
      </c>
      <c r="D50" s="87">
        <v>210.0</v>
      </c>
      <c r="E50" s="178">
        <v>0.0123</v>
      </c>
      <c r="F50" s="296">
        <v>0.0249</v>
      </c>
      <c r="G50" s="191">
        <v>0.0197</v>
      </c>
      <c r="H50" s="91">
        <v>3680.0</v>
      </c>
      <c r="I50" s="91">
        <v>5044.0</v>
      </c>
      <c r="J50" s="91">
        <v>8724.0</v>
      </c>
      <c r="K50" s="116">
        <v>0.0131</v>
      </c>
      <c r="L50" s="57">
        <v>0.0275</v>
      </c>
      <c r="M50" s="310">
        <v>0.0188</v>
      </c>
      <c r="N50" s="1"/>
      <c r="O50" s="23" t="s">
        <v>68</v>
      </c>
      <c r="P50" s="87">
        <v>54.0</v>
      </c>
      <c r="Q50" s="87">
        <v>123.0</v>
      </c>
      <c r="R50" s="87">
        <v>177.0</v>
      </c>
      <c r="S50" s="311">
        <v>0.0123</v>
      </c>
      <c r="T50" s="312">
        <v>0.0196</v>
      </c>
      <c r="U50" s="313">
        <v>0.0166</v>
      </c>
      <c r="V50" s="91">
        <v>3680.0</v>
      </c>
      <c r="W50" s="91">
        <v>3924.0</v>
      </c>
      <c r="X50" s="91">
        <v>7604.0</v>
      </c>
      <c r="Y50" s="314">
        <v>0.0131</v>
      </c>
      <c r="Z50" s="315">
        <v>0.0214</v>
      </c>
      <c r="AA50" s="314">
        <v>0.0164</v>
      </c>
      <c r="AB50" s="1"/>
      <c r="AC50" s="87">
        <v>12.0</v>
      </c>
      <c r="AD50" s="87">
        <v>0.0</v>
      </c>
      <c r="AE50" s="87">
        <v>0.0</v>
      </c>
      <c r="AF50" s="316">
        <v>0.0017</v>
      </c>
      <c r="AG50" s="37">
        <v>0.0</v>
      </c>
      <c r="AH50" s="37">
        <v>0.0</v>
      </c>
      <c r="AI50" s="87">
        <v>713.0</v>
      </c>
      <c r="AJ50" s="87">
        <v>0.0</v>
      </c>
      <c r="AK50" s="87">
        <v>0.0</v>
      </c>
      <c r="AL50" s="274">
        <v>0.0025</v>
      </c>
      <c r="AM50" s="37">
        <v>0.0</v>
      </c>
      <c r="AN50" s="37">
        <v>0.0</v>
      </c>
      <c r="AO50" s="101"/>
      <c r="AP50" s="101"/>
      <c r="AQ50" s="101"/>
      <c r="AR50" s="101"/>
      <c r="AS50" s="101"/>
      <c r="AT50" s="101"/>
      <c r="AU50" s="101"/>
      <c r="AV50" s="101"/>
      <c r="AW50" s="101"/>
      <c r="AX50" s="101"/>
      <c r="AY50" s="101"/>
      <c r="AZ50" s="101"/>
      <c r="BA50" s="101"/>
      <c r="BB50" s="101"/>
      <c r="BC50" s="101"/>
      <c r="BD50" s="101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1"/>
      <c r="BS50" s="101"/>
      <c r="BT50" s="101"/>
      <c r="BU50" s="101"/>
      <c r="BV50" s="101"/>
      <c r="BW50" s="101"/>
      <c r="BX50" s="101"/>
      <c r="BY50" s="101"/>
      <c r="BZ50" s="101"/>
      <c r="CA50" s="101"/>
      <c r="CB50" s="101"/>
      <c r="CC50" s="101"/>
      <c r="CD50" s="101"/>
      <c r="CE50" s="101"/>
      <c r="CF50" s="101"/>
      <c r="CG50" s="101"/>
      <c r="CH50" s="101"/>
      <c r="CI50" s="101"/>
      <c r="CJ50" s="101"/>
      <c r="CK50" s="101"/>
      <c r="CL50" s="101"/>
      <c r="CM50" s="101"/>
      <c r="CN50" s="101"/>
      <c r="CO50" s="101"/>
      <c r="CP50" s="101"/>
      <c r="CQ50" s="101"/>
      <c r="CR50" s="101"/>
      <c r="CS50" s="101"/>
      <c r="CT50" s="101"/>
      <c r="CU50" s="101"/>
      <c r="CV50" s="101"/>
      <c r="CW50" s="101"/>
      <c r="CX50" s="101"/>
      <c r="CY50" s="101"/>
      <c r="CZ50" s="101"/>
      <c r="DA50" s="101"/>
      <c r="DB50" s="101"/>
      <c r="DC50" s="101"/>
      <c r="DD50" s="101"/>
      <c r="DE50" s="101"/>
      <c r="DF50" s="101"/>
      <c r="DG50" s="101"/>
      <c r="DH50" s="101"/>
    </row>
    <row r="51">
      <c r="A51" s="23" t="s">
        <v>69</v>
      </c>
      <c r="B51" s="87">
        <v>36.0</v>
      </c>
      <c r="C51" s="87">
        <v>13.0</v>
      </c>
      <c r="D51" s="87">
        <v>49.0</v>
      </c>
      <c r="E51" s="266">
        <v>0.0051</v>
      </c>
      <c r="F51" s="317">
        <v>0.004</v>
      </c>
      <c r="G51" s="318">
        <v>0.0047</v>
      </c>
      <c r="H51" s="91">
        <v>2981.0</v>
      </c>
      <c r="I51" s="87">
        <v>350.0</v>
      </c>
      <c r="J51" s="91">
        <v>3331.0</v>
      </c>
      <c r="K51" s="277">
        <v>0.0072</v>
      </c>
      <c r="L51" s="319">
        <v>0.0035</v>
      </c>
      <c r="M51" s="158">
        <v>0.0065</v>
      </c>
      <c r="N51" s="1"/>
      <c r="O51" s="23" t="s">
        <v>69</v>
      </c>
      <c r="P51" s="87">
        <v>34.0</v>
      </c>
      <c r="Q51" s="87">
        <v>10.0</v>
      </c>
      <c r="R51" s="87">
        <v>44.0</v>
      </c>
      <c r="S51" s="51">
        <v>0.0048</v>
      </c>
      <c r="T51" s="320">
        <v>0.003</v>
      </c>
      <c r="U51" s="269">
        <v>0.0042</v>
      </c>
      <c r="V51" s="91">
        <v>2877.0</v>
      </c>
      <c r="W51" s="87">
        <v>252.0</v>
      </c>
      <c r="X51" s="91">
        <v>3129.0</v>
      </c>
      <c r="Y51" s="119">
        <v>0.007</v>
      </c>
      <c r="Z51" s="139">
        <v>0.0025</v>
      </c>
      <c r="AA51" s="90">
        <v>0.0061</v>
      </c>
      <c r="AB51" s="1"/>
      <c r="AC51" s="321"/>
      <c r="AD51" s="87">
        <v>0.0</v>
      </c>
      <c r="AE51" s="87">
        <v>0.0</v>
      </c>
      <c r="AF51" s="318">
        <v>0.0017</v>
      </c>
      <c r="AG51" s="37">
        <v>0.0</v>
      </c>
      <c r="AH51" s="37">
        <v>0.0</v>
      </c>
      <c r="AI51" s="321"/>
      <c r="AJ51" s="87">
        <v>0.0</v>
      </c>
      <c r="AK51" s="87">
        <v>0.0</v>
      </c>
      <c r="AL51" s="322">
        <v>0.0</v>
      </c>
      <c r="AM51" s="37">
        <v>0.0</v>
      </c>
      <c r="AN51" s="37">
        <v>0.0</v>
      </c>
      <c r="AO51" s="101"/>
      <c r="AP51" s="101"/>
      <c r="AQ51" s="101"/>
      <c r="AR51" s="101"/>
      <c r="AS51" s="101"/>
      <c r="AT51" s="101"/>
      <c r="AU51" s="101"/>
      <c r="AV51" s="101"/>
      <c r="AW51" s="101"/>
      <c r="AX51" s="101"/>
      <c r="AY51" s="101"/>
      <c r="AZ51" s="101"/>
      <c r="BA51" s="101"/>
      <c r="BB51" s="101"/>
      <c r="BC51" s="101"/>
      <c r="BD51" s="101"/>
      <c r="BE51" s="101"/>
      <c r="BF51" s="101"/>
      <c r="BG51" s="101"/>
      <c r="BH51" s="101"/>
      <c r="BI51" s="101"/>
      <c r="BJ51" s="101"/>
      <c r="BK51" s="101"/>
      <c r="BL51" s="101"/>
      <c r="BM51" s="101"/>
      <c r="BN51" s="101"/>
      <c r="BO51" s="101"/>
      <c r="BP51" s="101"/>
      <c r="BQ51" s="101"/>
      <c r="BR51" s="101"/>
      <c r="BS51" s="101"/>
      <c r="BT51" s="101"/>
      <c r="BU51" s="101"/>
      <c r="BV51" s="101"/>
      <c r="BW51" s="101"/>
      <c r="BX51" s="101"/>
      <c r="BY51" s="101"/>
      <c r="BZ51" s="101"/>
      <c r="CA51" s="101"/>
      <c r="CB51" s="101"/>
      <c r="CC51" s="101"/>
      <c r="CD51" s="101"/>
      <c r="CE51" s="101"/>
      <c r="CF51" s="101"/>
      <c r="CG51" s="101"/>
      <c r="CH51" s="101"/>
      <c r="CI51" s="101"/>
      <c r="CJ51" s="101"/>
      <c r="CK51" s="101"/>
      <c r="CL51" s="101"/>
      <c r="CM51" s="101"/>
      <c r="CN51" s="101"/>
      <c r="CO51" s="101"/>
      <c r="CP51" s="101"/>
      <c r="CQ51" s="101"/>
      <c r="CR51" s="101"/>
      <c r="CS51" s="101"/>
      <c r="CT51" s="101"/>
      <c r="CU51" s="101"/>
      <c r="CV51" s="101"/>
      <c r="CW51" s="101"/>
      <c r="CX51" s="101"/>
      <c r="CY51" s="101"/>
      <c r="CZ51" s="101"/>
      <c r="DA51" s="101"/>
      <c r="DB51" s="101"/>
      <c r="DC51" s="101"/>
      <c r="DD51" s="101"/>
      <c r="DE51" s="101"/>
      <c r="DF51" s="101"/>
      <c r="DG51" s="101"/>
      <c r="DH51" s="101"/>
    </row>
    <row r="52">
      <c r="A52" s="23" t="s">
        <v>70</v>
      </c>
      <c r="B52" s="87">
        <v>45.0</v>
      </c>
      <c r="C52" s="87">
        <v>27.0</v>
      </c>
      <c r="D52" s="87">
        <v>72.0</v>
      </c>
      <c r="E52" s="143">
        <v>0.0059</v>
      </c>
      <c r="F52" s="323">
        <v>0.0051</v>
      </c>
      <c r="G52" s="324">
        <v>0.0055</v>
      </c>
      <c r="H52" s="91">
        <v>3071.0</v>
      </c>
      <c r="I52" s="87">
        <v>825.0</v>
      </c>
      <c r="J52" s="91">
        <v>3895.0</v>
      </c>
      <c r="K52" s="325">
        <v>0.0058</v>
      </c>
      <c r="L52" s="326">
        <v>0.0051</v>
      </c>
      <c r="M52" s="143">
        <v>0.0056</v>
      </c>
      <c r="N52" s="1"/>
      <c r="O52" s="23" t="s">
        <v>70</v>
      </c>
      <c r="P52" s="87">
        <v>42.0</v>
      </c>
      <c r="Q52" s="87">
        <v>20.0</v>
      </c>
      <c r="R52" s="87">
        <v>62.0</v>
      </c>
      <c r="S52" s="266">
        <v>0.0055</v>
      </c>
      <c r="T52" s="289">
        <v>0.0037</v>
      </c>
      <c r="U52" s="322">
        <v>0.0048</v>
      </c>
      <c r="V52" s="91">
        <v>2826.0</v>
      </c>
      <c r="W52" s="87">
        <v>614.0</v>
      </c>
      <c r="X52" s="91">
        <v>3440.0</v>
      </c>
      <c r="Y52" s="97">
        <v>0.0053</v>
      </c>
      <c r="Z52" s="104">
        <v>0.0038</v>
      </c>
      <c r="AA52" s="25">
        <v>0.005</v>
      </c>
      <c r="AB52" s="1"/>
      <c r="AC52" s="327">
        <v>1.0</v>
      </c>
      <c r="AD52" s="87">
        <v>0.0</v>
      </c>
      <c r="AE52" s="87">
        <v>0.0</v>
      </c>
      <c r="AF52" s="69">
        <v>0.0017</v>
      </c>
      <c r="AG52" s="37">
        <v>0.0</v>
      </c>
      <c r="AH52" s="37">
        <v>0.0</v>
      </c>
      <c r="AI52" s="327">
        <v>160.0</v>
      </c>
      <c r="AJ52" s="87">
        <v>0.0</v>
      </c>
      <c r="AK52" s="87">
        <v>0.0</v>
      </c>
      <c r="AL52" s="69">
        <v>3.0E-4</v>
      </c>
      <c r="AM52" s="37">
        <v>0.0</v>
      </c>
      <c r="AN52" s="37">
        <v>0.0</v>
      </c>
      <c r="AO52" s="101"/>
      <c r="AP52" s="101"/>
      <c r="AQ52" s="101"/>
      <c r="AR52" s="101"/>
      <c r="AS52" s="101"/>
      <c r="AT52" s="101"/>
      <c r="AU52" s="101"/>
      <c r="AV52" s="101"/>
      <c r="AW52" s="101"/>
      <c r="AX52" s="101"/>
      <c r="AY52" s="101"/>
      <c r="AZ52" s="101"/>
      <c r="BA52" s="101"/>
      <c r="BB52" s="101"/>
      <c r="BC52" s="101"/>
      <c r="BD52" s="101"/>
      <c r="BE52" s="101"/>
      <c r="BF52" s="101"/>
      <c r="BG52" s="101"/>
      <c r="BH52" s="101"/>
      <c r="BI52" s="101"/>
      <c r="BJ52" s="101"/>
      <c r="BK52" s="101"/>
      <c r="BL52" s="101"/>
      <c r="BM52" s="101"/>
      <c r="BN52" s="101"/>
      <c r="BO52" s="101"/>
      <c r="BP52" s="101"/>
      <c r="BQ52" s="101"/>
      <c r="BR52" s="101"/>
      <c r="BS52" s="101"/>
      <c r="BT52" s="101"/>
      <c r="BU52" s="101"/>
      <c r="BV52" s="101"/>
      <c r="BW52" s="101"/>
      <c r="BX52" s="101"/>
      <c r="BY52" s="101"/>
      <c r="BZ52" s="101"/>
      <c r="CA52" s="101"/>
      <c r="CB52" s="101"/>
      <c r="CC52" s="101"/>
      <c r="CD52" s="101"/>
      <c r="CE52" s="101"/>
      <c r="CF52" s="101"/>
      <c r="CG52" s="101"/>
      <c r="CH52" s="101"/>
      <c r="CI52" s="101"/>
      <c r="CJ52" s="101"/>
      <c r="CK52" s="101"/>
      <c r="CL52" s="101"/>
      <c r="CM52" s="101"/>
      <c r="CN52" s="101"/>
      <c r="CO52" s="101"/>
      <c r="CP52" s="101"/>
      <c r="CQ52" s="101"/>
      <c r="CR52" s="101"/>
      <c r="CS52" s="101"/>
      <c r="CT52" s="101"/>
      <c r="CU52" s="101"/>
      <c r="CV52" s="101"/>
      <c r="CW52" s="101"/>
      <c r="CX52" s="101"/>
      <c r="CY52" s="101"/>
      <c r="CZ52" s="101"/>
      <c r="DA52" s="101"/>
      <c r="DB52" s="101"/>
      <c r="DC52" s="101"/>
      <c r="DD52" s="101"/>
      <c r="DE52" s="101"/>
      <c r="DF52" s="101"/>
      <c r="DG52" s="101"/>
      <c r="DH52" s="101"/>
    </row>
    <row r="53">
      <c r="A53" s="23" t="s">
        <v>71</v>
      </c>
      <c r="B53" s="87">
        <v>60.0</v>
      </c>
      <c r="C53" s="87">
        <v>18.0</v>
      </c>
      <c r="D53" s="87">
        <v>78.0</v>
      </c>
      <c r="E53" s="163">
        <v>0.0085</v>
      </c>
      <c r="F53" s="272">
        <v>0.0068</v>
      </c>
      <c r="G53" s="72">
        <v>0.0081</v>
      </c>
      <c r="H53" s="91">
        <v>7123.0</v>
      </c>
      <c r="I53" s="87">
        <v>537.0</v>
      </c>
      <c r="J53" s="91">
        <v>7660.0</v>
      </c>
      <c r="K53" s="108">
        <v>0.0152</v>
      </c>
      <c r="L53" s="328">
        <v>0.0067</v>
      </c>
      <c r="M53" s="329">
        <v>0.014</v>
      </c>
      <c r="N53" s="1"/>
      <c r="O53" s="23" t="s">
        <v>71</v>
      </c>
      <c r="P53" s="87">
        <v>56.0</v>
      </c>
      <c r="Q53" s="87">
        <v>13.0</v>
      </c>
      <c r="R53" s="87">
        <v>69.0</v>
      </c>
      <c r="S53" s="330">
        <v>0.0079</v>
      </c>
      <c r="T53" s="269">
        <v>0.0049</v>
      </c>
      <c r="U53" s="318">
        <v>0.0071</v>
      </c>
      <c r="V53" s="91">
        <v>6822.0</v>
      </c>
      <c r="W53" s="87">
        <v>369.0</v>
      </c>
      <c r="X53" s="91">
        <v>7191.0</v>
      </c>
      <c r="Y53" s="153">
        <v>0.0146</v>
      </c>
      <c r="Z53" s="331">
        <v>0.0046</v>
      </c>
      <c r="AA53" s="43">
        <v>0.0131</v>
      </c>
      <c r="AB53" s="1"/>
      <c r="AC53" s="321"/>
      <c r="AD53" s="87">
        <v>0.0</v>
      </c>
      <c r="AE53" s="87">
        <v>0.0</v>
      </c>
      <c r="AF53" s="269">
        <v>0.0017</v>
      </c>
      <c r="AG53" s="37">
        <v>0.0</v>
      </c>
      <c r="AH53" s="37">
        <v>0.0</v>
      </c>
      <c r="AI53" s="321"/>
      <c r="AJ53" s="87">
        <v>0.0</v>
      </c>
      <c r="AK53" s="87">
        <v>0.0</v>
      </c>
      <c r="AL53" s="332">
        <v>0.0</v>
      </c>
      <c r="AM53" s="37">
        <v>0.0</v>
      </c>
      <c r="AN53" s="37">
        <v>0.0</v>
      </c>
      <c r="AO53" s="101"/>
      <c r="AP53" s="101"/>
      <c r="AQ53" s="101"/>
      <c r="AR53" s="101"/>
      <c r="AS53" s="101"/>
      <c r="AT53" s="101"/>
      <c r="AU53" s="101"/>
      <c r="AV53" s="101"/>
      <c r="AW53" s="101"/>
      <c r="AX53" s="101"/>
      <c r="AY53" s="101"/>
      <c r="AZ53" s="101"/>
      <c r="BA53" s="101"/>
      <c r="BB53" s="101"/>
      <c r="BC53" s="101"/>
      <c r="BD53" s="101"/>
      <c r="BE53" s="101"/>
      <c r="BF53" s="101"/>
      <c r="BG53" s="101"/>
      <c r="BH53" s="101"/>
      <c r="BI53" s="101"/>
      <c r="BJ53" s="101"/>
      <c r="BK53" s="101"/>
      <c r="BL53" s="101"/>
      <c r="BM53" s="101"/>
      <c r="BN53" s="101"/>
      <c r="BO53" s="101"/>
      <c r="BP53" s="101"/>
      <c r="BQ53" s="101"/>
      <c r="BR53" s="101"/>
      <c r="BS53" s="101"/>
      <c r="BT53" s="101"/>
      <c r="BU53" s="101"/>
      <c r="BV53" s="101"/>
      <c r="BW53" s="101"/>
      <c r="BX53" s="101"/>
      <c r="BY53" s="101"/>
      <c r="BZ53" s="101"/>
      <c r="CA53" s="101"/>
      <c r="CB53" s="101"/>
      <c r="CC53" s="101"/>
      <c r="CD53" s="101"/>
      <c r="CE53" s="101"/>
      <c r="CF53" s="101"/>
      <c r="CG53" s="101"/>
      <c r="CH53" s="101"/>
      <c r="CI53" s="101"/>
      <c r="CJ53" s="101"/>
      <c r="CK53" s="101"/>
      <c r="CL53" s="101"/>
      <c r="CM53" s="101"/>
      <c r="CN53" s="101"/>
      <c r="CO53" s="101"/>
      <c r="CP53" s="101"/>
      <c r="CQ53" s="101"/>
      <c r="CR53" s="101"/>
      <c r="CS53" s="101"/>
      <c r="CT53" s="101"/>
      <c r="CU53" s="101"/>
      <c r="CV53" s="101"/>
      <c r="CW53" s="101"/>
      <c r="CX53" s="101"/>
      <c r="CY53" s="101"/>
      <c r="CZ53" s="101"/>
      <c r="DA53" s="101"/>
      <c r="DB53" s="101"/>
      <c r="DC53" s="101"/>
      <c r="DD53" s="101"/>
      <c r="DE53" s="101"/>
      <c r="DF53" s="101"/>
      <c r="DG53" s="101"/>
      <c r="DH53" s="101"/>
    </row>
    <row r="54">
      <c r="A54" s="23" t="s">
        <v>72</v>
      </c>
      <c r="B54" s="87">
        <v>27.0</v>
      </c>
      <c r="C54" s="87">
        <v>10.0</v>
      </c>
      <c r="D54" s="87">
        <v>37.0</v>
      </c>
      <c r="E54" s="333">
        <v>0.0049</v>
      </c>
      <c r="F54" s="334">
        <v>0.0032</v>
      </c>
      <c r="G54" s="335">
        <v>0.0043</v>
      </c>
      <c r="H54" s="91">
        <v>1927.0</v>
      </c>
      <c r="I54" s="87">
        <v>306.0</v>
      </c>
      <c r="J54" s="91">
        <v>2233.0</v>
      </c>
      <c r="K54" s="336">
        <v>0.0054</v>
      </c>
      <c r="L54" s="337">
        <v>0.0033</v>
      </c>
      <c r="M54" s="338">
        <v>0.0049</v>
      </c>
      <c r="N54" s="1"/>
      <c r="O54" s="23" t="s">
        <v>72</v>
      </c>
      <c r="P54" s="87">
        <v>22.0</v>
      </c>
      <c r="Q54" s="87">
        <v>10.0</v>
      </c>
      <c r="R54" s="87">
        <v>32.0</v>
      </c>
      <c r="S54" s="160">
        <v>0.004</v>
      </c>
      <c r="T54" s="276">
        <v>0.0032</v>
      </c>
      <c r="U54" s="339">
        <v>0.0037</v>
      </c>
      <c r="V54" s="91">
        <v>1157.0</v>
      </c>
      <c r="W54" s="87">
        <v>306.0</v>
      </c>
      <c r="X54" s="91">
        <v>1463.0</v>
      </c>
      <c r="Y54" s="340">
        <v>0.0032</v>
      </c>
      <c r="Z54" s="273">
        <v>0.0033</v>
      </c>
      <c r="AA54" s="341">
        <v>0.0032</v>
      </c>
      <c r="AB54" s="1"/>
      <c r="AC54" s="321"/>
      <c r="AD54" s="87">
        <v>0.0</v>
      </c>
      <c r="AE54" s="87">
        <v>0.0</v>
      </c>
      <c r="AF54" s="104">
        <v>0.0017</v>
      </c>
      <c r="AG54" s="37">
        <v>0.0</v>
      </c>
      <c r="AH54" s="37">
        <v>0.0</v>
      </c>
      <c r="AI54" s="321"/>
      <c r="AJ54" s="87">
        <v>0.0</v>
      </c>
      <c r="AK54" s="87">
        <v>0.0</v>
      </c>
      <c r="AL54" s="137">
        <v>0.0</v>
      </c>
      <c r="AM54" s="37">
        <v>0.0</v>
      </c>
      <c r="AN54" s="37">
        <v>0.0</v>
      </c>
      <c r="AO54" s="101"/>
      <c r="AP54" s="101"/>
      <c r="AQ54" s="101"/>
      <c r="AR54" s="101"/>
      <c r="AS54" s="101"/>
      <c r="AT54" s="101"/>
      <c r="AU54" s="101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1"/>
      <c r="BG54" s="101"/>
      <c r="BH54" s="101"/>
      <c r="BI54" s="101"/>
      <c r="BJ54" s="101"/>
      <c r="BK54" s="101"/>
      <c r="BL54" s="101"/>
      <c r="BM54" s="101"/>
      <c r="BN54" s="101"/>
      <c r="BO54" s="101"/>
      <c r="BP54" s="101"/>
      <c r="BQ54" s="101"/>
      <c r="BR54" s="101"/>
      <c r="BS54" s="101"/>
      <c r="BT54" s="101"/>
      <c r="BU54" s="101"/>
      <c r="BV54" s="101"/>
      <c r="BW54" s="101"/>
      <c r="BX54" s="101"/>
      <c r="BY54" s="101"/>
      <c r="BZ54" s="101"/>
      <c r="CA54" s="101"/>
      <c r="CB54" s="101"/>
      <c r="CC54" s="101"/>
      <c r="CD54" s="101"/>
      <c r="CE54" s="101"/>
      <c r="CF54" s="101"/>
      <c r="CG54" s="101"/>
      <c r="CH54" s="101"/>
      <c r="CI54" s="101"/>
      <c r="CJ54" s="101"/>
      <c r="CK54" s="101"/>
      <c r="CL54" s="101"/>
      <c r="CM54" s="101"/>
      <c r="CN54" s="101"/>
      <c r="CO54" s="101"/>
      <c r="CP54" s="101"/>
      <c r="CQ54" s="101"/>
      <c r="CR54" s="101"/>
      <c r="CS54" s="101"/>
      <c r="CT54" s="101"/>
      <c r="CU54" s="101"/>
      <c r="CV54" s="101"/>
      <c r="CW54" s="101"/>
      <c r="CX54" s="101"/>
      <c r="CY54" s="101"/>
      <c r="CZ54" s="101"/>
      <c r="DA54" s="101"/>
      <c r="DB54" s="101"/>
      <c r="DC54" s="101"/>
      <c r="DD54" s="101"/>
      <c r="DE54" s="101"/>
      <c r="DF54" s="101"/>
      <c r="DG54" s="101"/>
      <c r="DH54" s="101"/>
    </row>
    <row r="55">
      <c r="A55" s="23" t="s">
        <v>73</v>
      </c>
      <c r="B55" s="87">
        <v>24.0</v>
      </c>
      <c r="C55" s="87">
        <v>24.0</v>
      </c>
      <c r="D55" s="87">
        <v>48.0</v>
      </c>
      <c r="E55" s="318">
        <v>0.0054</v>
      </c>
      <c r="F55" s="69">
        <v>0.005</v>
      </c>
      <c r="G55" s="69">
        <v>0.0052</v>
      </c>
      <c r="H55" s="91">
        <v>1286.0</v>
      </c>
      <c r="I55" s="91">
        <v>2280.0</v>
      </c>
      <c r="J55" s="91">
        <v>3566.0</v>
      </c>
      <c r="K55" s="69">
        <v>0.0047</v>
      </c>
      <c r="L55" s="69">
        <v>0.015</v>
      </c>
      <c r="M55" s="69">
        <v>0.0083</v>
      </c>
      <c r="N55" s="1"/>
      <c r="O55" s="23" t="s">
        <v>73</v>
      </c>
      <c r="P55" s="87">
        <v>23.0</v>
      </c>
      <c r="Q55" s="87">
        <v>18.0</v>
      </c>
      <c r="R55" s="87">
        <v>41.0</v>
      </c>
      <c r="S55" s="221">
        <v>0.0052</v>
      </c>
      <c r="T55" s="69">
        <v>0.0037</v>
      </c>
      <c r="U55" s="69">
        <v>0.0044</v>
      </c>
      <c r="V55" s="91">
        <v>1241.0</v>
      </c>
      <c r="W55" s="87">
        <v>699.0</v>
      </c>
      <c r="X55" s="91">
        <v>1940.0</v>
      </c>
      <c r="Y55" s="289">
        <v>0.0045</v>
      </c>
      <c r="Z55" s="69">
        <v>0.0046</v>
      </c>
      <c r="AA55" s="69">
        <v>0.0045</v>
      </c>
      <c r="AB55" s="1"/>
      <c r="AC55" s="321"/>
      <c r="AD55" s="87">
        <v>0.0</v>
      </c>
      <c r="AE55" s="87">
        <v>0.0</v>
      </c>
      <c r="AF55" s="317">
        <v>0.0017</v>
      </c>
      <c r="AG55" s="37">
        <v>0.0</v>
      </c>
      <c r="AH55" s="37">
        <v>0.0</v>
      </c>
      <c r="AI55" s="321"/>
      <c r="AJ55" s="87">
        <v>0.0</v>
      </c>
      <c r="AK55" s="87">
        <v>0.0</v>
      </c>
      <c r="AL55" s="273">
        <v>0.0</v>
      </c>
      <c r="AM55" s="37">
        <v>0.0</v>
      </c>
      <c r="AN55" s="37">
        <v>0.0</v>
      </c>
      <c r="AO55" s="101"/>
      <c r="AP55" s="101"/>
      <c r="AQ55" s="101"/>
      <c r="AR55" s="101"/>
      <c r="AS55" s="101"/>
      <c r="AT55" s="101"/>
      <c r="AU55" s="101"/>
      <c r="AV55" s="101"/>
      <c r="AW55" s="101"/>
      <c r="AX55" s="101"/>
      <c r="AY55" s="101"/>
      <c r="AZ55" s="101"/>
      <c r="BA55" s="101"/>
      <c r="BB55" s="101"/>
      <c r="BC55" s="101"/>
      <c r="BD55" s="101"/>
      <c r="BE55" s="101"/>
      <c r="BF55" s="101"/>
      <c r="BG55" s="101"/>
      <c r="BH55" s="101"/>
      <c r="BI55" s="101"/>
      <c r="BJ55" s="101"/>
      <c r="BK55" s="101"/>
      <c r="BL55" s="101"/>
      <c r="BM55" s="101"/>
      <c r="BN55" s="101"/>
      <c r="BO55" s="101"/>
      <c r="BP55" s="101"/>
      <c r="BQ55" s="101"/>
      <c r="BR55" s="101"/>
      <c r="BS55" s="101"/>
      <c r="BT55" s="101"/>
      <c r="BU55" s="101"/>
      <c r="BV55" s="101"/>
      <c r="BW55" s="101"/>
      <c r="BX55" s="101"/>
      <c r="BY55" s="101"/>
      <c r="BZ55" s="101"/>
      <c r="CA55" s="101"/>
      <c r="CB55" s="101"/>
      <c r="CC55" s="101"/>
      <c r="CD55" s="101"/>
      <c r="CE55" s="101"/>
      <c r="CF55" s="101"/>
      <c r="CG55" s="101"/>
      <c r="CH55" s="101"/>
      <c r="CI55" s="101"/>
      <c r="CJ55" s="101"/>
      <c r="CK55" s="101"/>
      <c r="CL55" s="101"/>
      <c r="CM55" s="101"/>
      <c r="CN55" s="101"/>
      <c r="CO55" s="101"/>
      <c r="CP55" s="101"/>
      <c r="CQ55" s="101"/>
      <c r="CR55" s="101"/>
      <c r="CS55" s="101"/>
      <c r="CT55" s="101"/>
      <c r="CU55" s="101"/>
      <c r="CV55" s="101"/>
      <c r="CW55" s="101"/>
      <c r="CX55" s="101"/>
      <c r="CY55" s="101"/>
      <c r="CZ55" s="101"/>
      <c r="DA55" s="101"/>
      <c r="DB55" s="101"/>
      <c r="DC55" s="101"/>
      <c r="DD55" s="101"/>
      <c r="DE55" s="101"/>
      <c r="DF55" s="101"/>
      <c r="DG55" s="101"/>
      <c r="DH55" s="101"/>
    </row>
    <row r="56">
      <c r="A56" s="23" t="s">
        <v>74</v>
      </c>
      <c r="B56" s="87">
        <v>137.0</v>
      </c>
      <c r="C56" s="87">
        <v>23.0</v>
      </c>
      <c r="D56" s="87">
        <v>160.0</v>
      </c>
      <c r="E56" s="51">
        <v>0.0161</v>
      </c>
      <c r="F56" s="76">
        <v>0.0079</v>
      </c>
      <c r="G56" s="342">
        <v>0.014</v>
      </c>
      <c r="H56" s="91">
        <v>3874.0</v>
      </c>
      <c r="I56" s="87">
        <v>707.0</v>
      </c>
      <c r="J56" s="91">
        <v>4581.0</v>
      </c>
      <c r="K56" s="343">
        <v>0.0073</v>
      </c>
      <c r="L56" s="271">
        <v>0.0083</v>
      </c>
      <c r="M56" s="100">
        <v>0.0074</v>
      </c>
      <c r="N56" s="1"/>
      <c r="O56" s="23" t="s">
        <v>74</v>
      </c>
      <c r="P56" s="87">
        <v>33.0</v>
      </c>
      <c r="Q56" s="87">
        <v>15.0</v>
      </c>
      <c r="R56" s="87">
        <v>48.0</v>
      </c>
      <c r="S56" s="344">
        <v>0.0039</v>
      </c>
      <c r="T56" s="73">
        <v>0.0052</v>
      </c>
      <c r="U56" s="129">
        <v>0.0042</v>
      </c>
      <c r="V56" s="91">
        <v>1882.0</v>
      </c>
      <c r="W56" s="87">
        <v>430.0</v>
      </c>
      <c r="X56" s="91">
        <v>2313.0</v>
      </c>
      <c r="Y56" s="290">
        <v>0.0035</v>
      </c>
      <c r="Z56" s="184">
        <v>0.005</v>
      </c>
      <c r="AA56" s="90">
        <v>0.0038</v>
      </c>
      <c r="AB56" s="1"/>
      <c r="AC56" s="87">
        <v>3.0</v>
      </c>
      <c r="AD56" s="87">
        <v>0.0</v>
      </c>
      <c r="AE56" s="87">
        <v>0.0</v>
      </c>
      <c r="AF56" s="58">
        <v>0.0017</v>
      </c>
      <c r="AG56" s="37">
        <v>0.0</v>
      </c>
      <c r="AH56" s="37">
        <v>0.0</v>
      </c>
      <c r="AI56" s="87">
        <v>140.0</v>
      </c>
      <c r="AJ56" s="87">
        <v>0.0</v>
      </c>
      <c r="AK56" s="87">
        <v>0.0</v>
      </c>
      <c r="AL56" s="155">
        <v>3.0E-4</v>
      </c>
      <c r="AM56" s="37">
        <v>0.0</v>
      </c>
      <c r="AN56" s="37">
        <v>0.0</v>
      </c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1"/>
      <c r="BS56" s="101"/>
      <c r="BT56" s="101"/>
      <c r="BU56" s="101"/>
      <c r="BV56" s="101"/>
      <c r="BW56" s="101"/>
      <c r="BX56" s="101"/>
      <c r="BY56" s="101"/>
      <c r="BZ56" s="101"/>
      <c r="CA56" s="101"/>
      <c r="CB56" s="101"/>
      <c r="CC56" s="101"/>
      <c r="CD56" s="101"/>
      <c r="CE56" s="101"/>
      <c r="CF56" s="101"/>
      <c r="CG56" s="101"/>
      <c r="CH56" s="101"/>
      <c r="CI56" s="101"/>
      <c r="CJ56" s="101"/>
      <c r="CK56" s="101"/>
      <c r="CL56" s="101"/>
      <c r="CM56" s="101"/>
      <c r="CN56" s="101"/>
      <c r="CO56" s="101"/>
      <c r="CP56" s="101"/>
      <c r="CQ56" s="101"/>
      <c r="CR56" s="101"/>
      <c r="CS56" s="101"/>
      <c r="CT56" s="101"/>
      <c r="CU56" s="101"/>
      <c r="CV56" s="101"/>
      <c r="CW56" s="101"/>
      <c r="CX56" s="101"/>
      <c r="CY56" s="101"/>
      <c r="CZ56" s="101"/>
      <c r="DA56" s="101"/>
      <c r="DB56" s="101"/>
      <c r="DC56" s="101"/>
      <c r="DD56" s="101"/>
      <c r="DE56" s="101"/>
      <c r="DF56" s="101"/>
      <c r="DG56" s="101"/>
      <c r="DH56" s="101"/>
    </row>
    <row r="57">
      <c r="A57" s="23" t="s">
        <v>75</v>
      </c>
      <c r="B57" s="87">
        <v>100.0</v>
      </c>
      <c r="C57" s="87">
        <v>47.0</v>
      </c>
      <c r="D57" s="87">
        <v>147.0</v>
      </c>
      <c r="E57" s="53">
        <v>0.0107</v>
      </c>
      <c r="F57" s="53">
        <v>0.0156</v>
      </c>
      <c r="G57" s="53">
        <v>0.0119</v>
      </c>
      <c r="H57" s="91">
        <v>6900.0</v>
      </c>
      <c r="I57" s="91">
        <v>1324.0</v>
      </c>
      <c r="J57" s="91">
        <v>8224.0</v>
      </c>
      <c r="K57" s="53">
        <v>0.012</v>
      </c>
      <c r="L57" s="53">
        <v>0.0151</v>
      </c>
      <c r="M57" s="53">
        <v>0.0124</v>
      </c>
      <c r="N57" s="1"/>
      <c r="O57" s="23" t="s">
        <v>75</v>
      </c>
      <c r="P57" s="87">
        <v>95.0</v>
      </c>
      <c r="Q57" s="87">
        <v>40.0</v>
      </c>
      <c r="R57" s="87">
        <v>135.0</v>
      </c>
      <c r="S57" s="53">
        <v>0.0101</v>
      </c>
      <c r="T57" s="53">
        <v>0.0133</v>
      </c>
      <c r="U57" s="53">
        <v>0.0109</v>
      </c>
      <c r="V57" s="91">
        <v>6545.0</v>
      </c>
      <c r="W57" s="91">
        <v>1164.0</v>
      </c>
      <c r="X57" s="91">
        <v>7709.0</v>
      </c>
      <c r="Y57" s="53">
        <v>0.0114</v>
      </c>
      <c r="Z57" s="53">
        <v>0.0132</v>
      </c>
      <c r="AA57" s="53">
        <v>0.0116</v>
      </c>
      <c r="AB57" s="1"/>
      <c r="AC57" s="87">
        <v>12.0</v>
      </c>
      <c r="AD57" s="87">
        <v>0.0</v>
      </c>
      <c r="AE57" s="87">
        <v>0.0</v>
      </c>
      <c r="AF57" s="53">
        <v>0.0017</v>
      </c>
      <c r="AG57" s="37">
        <v>0.0</v>
      </c>
      <c r="AH57" s="37">
        <v>0.0</v>
      </c>
      <c r="AI57" s="87">
        <v>727.0</v>
      </c>
      <c r="AJ57" s="87">
        <v>0.0</v>
      </c>
      <c r="AK57" s="87">
        <v>0.0</v>
      </c>
      <c r="AL57" s="53">
        <v>0.0013</v>
      </c>
      <c r="AM57" s="37">
        <v>0.0</v>
      </c>
      <c r="AN57" s="37">
        <v>0.0</v>
      </c>
      <c r="AO57" s="101"/>
      <c r="AP57" s="101"/>
      <c r="AQ57" s="101"/>
      <c r="AR57" s="101"/>
      <c r="AS57" s="101"/>
      <c r="AT57" s="101"/>
      <c r="AU57" s="101"/>
      <c r="AV57" s="101"/>
      <c r="AW57" s="101"/>
      <c r="AX57" s="101"/>
      <c r="AY57" s="101"/>
      <c r="AZ57" s="101"/>
      <c r="BA57" s="101"/>
      <c r="BB57" s="101"/>
      <c r="BC57" s="101"/>
      <c r="BD57" s="101"/>
      <c r="BE57" s="101"/>
      <c r="BF57" s="101"/>
      <c r="BG57" s="101"/>
      <c r="BH57" s="101"/>
      <c r="BI57" s="101"/>
      <c r="BJ57" s="101"/>
      <c r="BK57" s="101"/>
      <c r="BL57" s="101"/>
      <c r="BM57" s="101"/>
      <c r="BN57" s="101"/>
      <c r="BO57" s="101"/>
      <c r="BP57" s="101"/>
      <c r="BQ57" s="101"/>
      <c r="BR57" s="101"/>
      <c r="BS57" s="101"/>
      <c r="BT57" s="101"/>
      <c r="BU57" s="101"/>
      <c r="BV57" s="101"/>
      <c r="BW57" s="101"/>
      <c r="BX57" s="101"/>
      <c r="BY57" s="101"/>
      <c r="BZ57" s="101"/>
      <c r="CA57" s="101"/>
      <c r="CB57" s="101"/>
      <c r="CC57" s="101"/>
      <c r="CD57" s="101"/>
      <c r="CE57" s="101"/>
      <c r="CF57" s="101"/>
      <c r="CG57" s="101"/>
      <c r="CH57" s="101"/>
      <c r="CI57" s="101"/>
      <c r="CJ57" s="101"/>
      <c r="CK57" s="101"/>
      <c r="CL57" s="101"/>
      <c r="CM57" s="101"/>
      <c r="CN57" s="101"/>
      <c r="CO57" s="101"/>
      <c r="CP57" s="101"/>
      <c r="CQ57" s="101"/>
      <c r="CR57" s="101"/>
      <c r="CS57" s="101"/>
      <c r="CT57" s="101"/>
      <c r="CU57" s="101"/>
      <c r="CV57" s="101"/>
      <c r="CW57" s="101"/>
      <c r="CX57" s="101"/>
      <c r="CY57" s="101"/>
      <c r="CZ57" s="101"/>
      <c r="DA57" s="101"/>
      <c r="DB57" s="101"/>
      <c r="DC57" s="101"/>
      <c r="DD57" s="101"/>
      <c r="DE57" s="101"/>
      <c r="DF57" s="101"/>
      <c r="DG57" s="101"/>
      <c r="DH57" s="101"/>
    </row>
    <row r="58">
      <c r="A58" s="23" t="s">
        <v>76</v>
      </c>
      <c r="B58" s="87">
        <v>39.0</v>
      </c>
      <c r="C58" s="87">
        <v>124.0</v>
      </c>
      <c r="D58" s="87">
        <v>163.0</v>
      </c>
      <c r="E58" s="120">
        <v>0.0059</v>
      </c>
      <c r="F58" s="224">
        <v>0.0201</v>
      </c>
      <c r="G58" s="224">
        <v>0.0127</v>
      </c>
      <c r="H58" s="91">
        <v>2867.0</v>
      </c>
      <c r="I58" s="91">
        <v>3637.0</v>
      </c>
      <c r="J58" s="91">
        <v>6504.0</v>
      </c>
      <c r="K58" s="80">
        <v>0.007</v>
      </c>
      <c r="L58" s="232">
        <v>0.0211</v>
      </c>
      <c r="M58" s="345">
        <v>0.0111</v>
      </c>
      <c r="N58" s="1"/>
      <c r="O58" s="23" t="s">
        <v>76</v>
      </c>
      <c r="P58" s="87">
        <v>37.0</v>
      </c>
      <c r="Q58" s="87">
        <v>91.0</v>
      </c>
      <c r="R58" s="87">
        <v>128.0</v>
      </c>
      <c r="S58" s="228">
        <v>0.0056</v>
      </c>
      <c r="T58" s="298">
        <v>0.0147</v>
      </c>
      <c r="U58" s="122">
        <v>0.01</v>
      </c>
      <c r="V58" s="91">
        <v>2407.0</v>
      </c>
      <c r="W58" s="91">
        <v>2674.0</v>
      </c>
      <c r="X58" s="91">
        <v>5081.0</v>
      </c>
      <c r="Y58" s="343">
        <v>0.0059</v>
      </c>
      <c r="Z58" s="32">
        <v>0.0155</v>
      </c>
      <c r="AA58" s="345">
        <v>0.0087</v>
      </c>
      <c r="AB58" s="1"/>
      <c r="AC58" s="87">
        <v>7.0</v>
      </c>
      <c r="AD58" s="87">
        <v>0.0</v>
      </c>
      <c r="AE58" s="87">
        <v>0.0</v>
      </c>
      <c r="AF58" s="36">
        <v>0.0017</v>
      </c>
      <c r="AG58" s="37">
        <v>0.0</v>
      </c>
      <c r="AH58" s="37">
        <v>0.0</v>
      </c>
      <c r="AI58" s="87">
        <v>533.0</v>
      </c>
      <c r="AJ58" s="87">
        <v>0.0</v>
      </c>
      <c r="AK58" s="87">
        <v>0.0</v>
      </c>
      <c r="AL58" s="326">
        <v>0.0013</v>
      </c>
      <c r="AM58" s="37">
        <v>0.0</v>
      </c>
      <c r="AN58" s="37">
        <v>0.0</v>
      </c>
      <c r="AO58" s="101"/>
      <c r="AP58" s="101"/>
      <c r="AQ58" s="101"/>
      <c r="AR58" s="101"/>
      <c r="AS58" s="101"/>
      <c r="AT58" s="101"/>
      <c r="AU58" s="101"/>
      <c r="AV58" s="101"/>
      <c r="AW58" s="101"/>
      <c r="AX58" s="101"/>
      <c r="AY58" s="101"/>
      <c r="AZ58" s="101"/>
      <c r="BA58" s="101"/>
      <c r="BB58" s="101"/>
      <c r="BC58" s="101"/>
      <c r="BD58" s="101"/>
      <c r="BE58" s="101"/>
      <c r="BF58" s="101"/>
      <c r="BG58" s="101"/>
      <c r="BH58" s="101"/>
      <c r="BI58" s="101"/>
      <c r="BJ58" s="101"/>
      <c r="BK58" s="101"/>
      <c r="BL58" s="101"/>
      <c r="BM58" s="101"/>
      <c r="BN58" s="101"/>
      <c r="BO58" s="101"/>
      <c r="BP58" s="101"/>
      <c r="BQ58" s="101"/>
      <c r="BR58" s="101"/>
      <c r="BS58" s="101"/>
      <c r="BT58" s="101"/>
      <c r="BU58" s="101"/>
      <c r="BV58" s="101"/>
      <c r="BW58" s="101"/>
      <c r="BX58" s="101"/>
      <c r="BY58" s="101"/>
      <c r="BZ58" s="101"/>
      <c r="CA58" s="101"/>
      <c r="CB58" s="101"/>
      <c r="CC58" s="101"/>
      <c r="CD58" s="101"/>
      <c r="CE58" s="101"/>
      <c r="CF58" s="101"/>
      <c r="CG58" s="101"/>
      <c r="CH58" s="101"/>
      <c r="CI58" s="101"/>
      <c r="CJ58" s="101"/>
      <c r="CK58" s="101"/>
      <c r="CL58" s="101"/>
      <c r="CM58" s="101"/>
      <c r="CN58" s="101"/>
      <c r="CO58" s="101"/>
      <c r="CP58" s="101"/>
      <c r="CQ58" s="101"/>
      <c r="CR58" s="101"/>
      <c r="CS58" s="101"/>
      <c r="CT58" s="101"/>
      <c r="CU58" s="101"/>
      <c r="CV58" s="101"/>
      <c r="CW58" s="101"/>
      <c r="CX58" s="101"/>
      <c r="CY58" s="101"/>
      <c r="CZ58" s="101"/>
      <c r="DA58" s="101"/>
      <c r="DB58" s="101"/>
      <c r="DC58" s="101"/>
      <c r="DD58" s="101"/>
      <c r="DE58" s="101"/>
      <c r="DF58" s="101"/>
      <c r="DG58" s="101"/>
      <c r="DH58" s="101"/>
    </row>
    <row r="59">
      <c r="A59" s="23" t="s">
        <v>77</v>
      </c>
      <c r="B59" s="87">
        <v>59.0</v>
      </c>
      <c r="C59" s="87">
        <v>76.0</v>
      </c>
      <c r="D59" s="87">
        <v>135.0</v>
      </c>
      <c r="E59" s="245">
        <v>0.0111</v>
      </c>
      <c r="F59" s="295">
        <v>0.0233</v>
      </c>
      <c r="G59" s="160">
        <v>0.0157</v>
      </c>
      <c r="H59" s="91">
        <v>4147.0</v>
      </c>
      <c r="I59" s="91">
        <v>2199.0</v>
      </c>
      <c r="J59" s="91">
        <v>6346.0</v>
      </c>
      <c r="K59" s="312">
        <v>0.0133</v>
      </c>
      <c r="L59" s="50">
        <v>0.0254</v>
      </c>
      <c r="M59" s="190">
        <v>0.0159</v>
      </c>
      <c r="N59" s="1"/>
      <c r="O59" s="23" t="s">
        <v>77</v>
      </c>
      <c r="P59" s="87">
        <v>57.0</v>
      </c>
      <c r="Q59" s="87">
        <v>67.0</v>
      </c>
      <c r="R59" s="87">
        <v>124.0</v>
      </c>
      <c r="S59" s="96">
        <v>0.0107</v>
      </c>
      <c r="T59" s="346">
        <v>0.0206</v>
      </c>
      <c r="U59" s="347">
        <v>0.0145</v>
      </c>
      <c r="V59" s="91">
        <v>3997.0</v>
      </c>
      <c r="W59" s="91">
        <v>1846.0</v>
      </c>
      <c r="X59" s="91">
        <v>5843.0</v>
      </c>
      <c r="Y59" s="160">
        <v>0.0128</v>
      </c>
      <c r="Z59" s="232">
        <v>0.0213</v>
      </c>
      <c r="AA59" s="257">
        <v>0.0147</v>
      </c>
      <c r="AB59" s="1"/>
      <c r="AC59" s="87">
        <v>9.0</v>
      </c>
      <c r="AD59" s="87">
        <v>0.0</v>
      </c>
      <c r="AE59" s="87">
        <v>0.0</v>
      </c>
      <c r="AF59" s="348">
        <v>0.0017</v>
      </c>
      <c r="AG59" s="37">
        <v>0.0</v>
      </c>
      <c r="AH59" s="37">
        <v>0.0</v>
      </c>
      <c r="AI59" s="87">
        <v>564.0</v>
      </c>
      <c r="AJ59" s="87">
        <v>0.0</v>
      </c>
      <c r="AK59" s="87">
        <v>0.0</v>
      </c>
      <c r="AL59" s="38">
        <v>0.0018</v>
      </c>
      <c r="AM59" s="37">
        <v>0.0</v>
      </c>
      <c r="AN59" s="37">
        <v>0.0</v>
      </c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  <c r="BI59" s="101"/>
      <c r="BJ59" s="101"/>
      <c r="BK59" s="101"/>
      <c r="BL59" s="101"/>
      <c r="BM59" s="101"/>
      <c r="BN59" s="101"/>
      <c r="BO59" s="101"/>
      <c r="BP59" s="101"/>
      <c r="BQ59" s="101"/>
      <c r="BR59" s="101"/>
      <c r="BS59" s="101"/>
      <c r="BT59" s="101"/>
      <c r="BU59" s="101"/>
      <c r="BV59" s="101"/>
      <c r="BW59" s="101"/>
      <c r="BX59" s="101"/>
      <c r="BY59" s="101"/>
      <c r="BZ59" s="101"/>
      <c r="CA59" s="101"/>
      <c r="CB59" s="101"/>
      <c r="CC59" s="101"/>
      <c r="CD59" s="101"/>
      <c r="CE59" s="101"/>
      <c r="CF59" s="101"/>
      <c r="CG59" s="101"/>
      <c r="CH59" s="101"/>
      <c r="CI59" s="101"/>
      <c r="CJ59" s="101"/>
      <c r="CK59" s="101"/>
      <c r="CL59" s="101"/>
      <c r="CM59" s="101"/>
      <c r="CN59" s="101"/>
      <c r="CO59" s="101"/>
      <c r="CP59" s="101"/>
      <c r="CQ59" s="101"/>
      <c r="CR59" s="101"/>
      <c r="CS59" s="101"/>
      <c r="CT59" s="101"/>
      <c r="CU59" s="101"/>
      <c r="CV59" s="101"/>
      <c r="CW59" s="101"/>
      <c r="CX59" s="101"/>
      <c r="CY59" s="101"/>
      <c r="CZ59" s="101"/>
      <c r="DA59" s="101"/>
      <c r="DB59" s="101"/>
      <c r="DC59" s="101"/>
      <c r="DD59" s="101"/>
      <c r="DE59" s="101"/>
      <c r="DF59" s="101"/>
      <c r="DG59" s="101"/>
      <c r="DH59" s="10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</row>
  </sheetData>
  <mergeCells count="25">
    <mergeCell ref="B1:M1"/>
    <mergeCell ref="P1:AA1"/>
    <mergeCell ref="AC1:AH1"/>
    <mergeCell ref="AI1:AN1"/>
    <mergeCell ref="B2:M2"/>
    <mergeCell ref="P2:AA2"/>
    <mergeCell ref="AC2:AD2"/>
    <mergeCell ref="B3:C3"/>
    <mergeCell ref="D3:E3"/>
    <mergeCell ref="F3:G3"/>
    <mergeCell ref="H3:I3"/>
    <mergeCell ref="J3:K3"/>
    <mergeCell ref="AC3:AH3"/>
    <mergeCell ref="AI3:AN3"/>
    <mergeCell ref="F15:G15"/>
    <mergeCell ref="H15:I15"/>
    <mergeCell ref="J15:K15"/>
    <mergeCell ref="L15:M15"/>
    <mergeCell ref="L3:M3"/>
    <mergeCell ref="B13:M13"/>
    <mergeCell ref="P13:AA13"/>
    <mergeCell ref="B14:M14"/>
    <mergeCell ref="P14:AA14"/>
    <mergeCell ref="B15:C15"/>
    <mergeCell ref="D15:E1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9" t="s">
        <v>78</v>
      </c>
      <c r="B1" s="350" t="s">
        <v>79</v>
      </c>
      <c r="C1" s="349" t="s">
        <v>47</v>
      </c>
      <c r="D1" s="350" t="s">
        <v>79</v>
      </c>
      <c r="E1" s="349" t="s">
        <v>48</v>
      </c>
      <c r="F1" s="350" t="s">
        <v>79</v>
      </c>
      <c r="G1" s="349" t="s">
        <v>49</v>
      </c>
      <c r="H1" s="350" t="s">
        <v>79</v>
      </c>
      <c r="I1" s="349" t="s">
        <v>50</v>
      </c>
      <c r="J1" s="350" t="s">
        <v>79</v>
      </c>
      <c r="K1" s="349" t="s">
        <v>51</v>
      </c>
      <c r="L1" s="350" t="s">
        <v>79</v>
      </c>
      <c r="M1" s="349" t="s">
        <v>52</v>
      </c>
      <c r="N1" s="350" t="s">
        <v>79</v>
      </c>
      <c r="O1" s="349" t="s">
        <v>53</v>
      </c>
      <c r="P1" s="350" t="s">
        <v>79</v>
      </c>
      <c r="Q1" s="349" t="s">
        <v>54</v>
      </c>
      <c r="R1" s="350" t="s">
        <v>79</v>
      </c>
    </row>
    <row r="2">
      <c r="A2" s="351" t="s">
        <v>80</v>
      </c>
      <c r="B2" s="352">
        <v>0.0124</v>
      </c>
      <c r="C2" s="353" t="s">
        <v>80</v>
      </c>
      <c r="D2" s="352">
        <v>0.014</v>
      </c>
      <c r="E2" s="353" t="s">
        <v>80</v>
      </c>
      <c r="F2" s="352">
        <v>0.0139</v>
      </c>
      <c r="G2" s="353" t="s">
        <v>80</v>
      </c>
      <c r="H2" s="352">
        <v>0.01</v>
      </c>
      <c r="I2" s="353" t="s">
        <v>80</v>
      </c>
      <c r="J2" s="352">
        <v>0.016</v>
      </c>
      <c r="K2" s="353" t="s">
        <v>80</v>
      </c>
      <c r="L2" s="352">
        <v>0.011</v>
      </c>
      <c r="M2" s="353" t="s">
        <v>80</v>
      </c>
      <c r="N2" s="352">
        <v>0.0089</v>
      </c>
      <c r="O2" s="353" t="s">
        <v>80</v>
      </c>
      <c r="P2" s="352">
        <v>0.0083</v>
      </c>
      <c r="Q2" s="353" t="s">
        <v>80</v>
      </c>
      <c r="R2" s="352">
        <v>0.0145</v>
      </c>
    </row>
    <row r="3">
      <c r="A3" s="351" t="s">
        <v>81</v>
      </c>
      <c r="B3" s="354">
        <v>0.0116</v>
      </c>
      <c r="C3" s="355" t="s">
        <v>81</v>
      </c>
      <c r="D3" s="356">
        <v>0.0128</v>
      </c>
      <c r="E3" s="355" t="s">
        <v>81</v>
      </c>
      <c r="F3" s="356">
        <v>0.0121</v>
      </c>
      <c r="G3" s="355" t="s">
        <v>81</v>
      </c>
      <c r="H3" s="356">
        <v>0.01</v>
      </c>
      <c r="I3" s="355" t="s">
        <v>81</v>
      </c>
      <c r="J3" s="356">
        <v>0.0121</v>
      </c>
      <c r="K3" s="355" t="s">
        <v>81</v>
      </c>
      <c r="L3" s="356">
        <v>0.0124</v>
      </c>
      <c r="M3" s="355" t="s">
        <v>81</v>
      </c>
      <c r="N3" s="356">
        <v>0.0082</v>
      </c>
      <c r="O3" s="355" t="s">
        <v>81</v>
      </c>
      <c r="P3" s="356">
        <v>0.0086</v>
      </c>
      <c r="Q3" s="355" t="s">
        <v>81</v>
      </c>
      <c r="R3" s="356">
        <v>0.0145</v>
      </c>
      <c r="S3" s="1"/>
      <c r="T3" s="1"/>
      <c r="U3" s="1"/>
      <c r="V3" s="1"/>
      <c r="W3" s="1"/>
      <c r="X3" s="1"/>
      <c r="Y3" s="1"/>
      <c r="Z3" s="1"/>
    </row>
    <row r="4">
      <c r="A4" s="351" t="s">
        <v>82</v>
      </c>
      <c r="B4" s="357">
        <v>0.0104</v>
      </c>
      <c r="C4" s="351" t="s">
        <v>82</v>
      </c>
      <c r="D4" s="358">
        <v>0.0108</v>
      </c>
      <c r="E4" s="351" t="s">
        <v>82</v>
      </c>
      <c r="F4" s="358">
        <v>0.0093</v>
      </c>
      <c r="G4" s="351" t="s">
        <v>82</v>
      </c>
      <c r="H4" s="358">
        <v>0.0087</v>
      </c>
      <c r="I4" s="351" t="s">
        <v>82</v>
      </c>
      <c r="J4" s="358">
        <v>0.0119</v>
      </c>
      <c r="K4" s="351" t="s">
        <v>82</v>
      </c>
      <c r="L4" s="358">
        <v>0.0106</v>
      </c>
      <c r="M4" s="351" t="s">
        <v>82</v>
      </c>
      <c r="N4" s="358">
        <v>0.0072</v>
      </c>
      <c r="O4" s="351" t="s">
        <v>82</v>
      </c>
      <c r="P4" s="358">
        <v>0.0086</v>
      </c>
      <c r="Q4" s="351" t="s">
        <v>82</v>
      </c>
      <c r="R4" s="358">
        <v>0.0138</v>
      </c>
      <c r="S4" s="1"/>
      <c r="T4" s="1"/>
      <c r="U4" s="1"/>
      <c r="V4" s="1"/>
      <c r="W4" s="1"/>
      <c r="X4" s="1"/>
      <c r="Y4" s="1"/>
      <c r="Z4" s="1"/>
    </row>
    <row r="5">
      <c r="A5" s="351" t="s">
        <v>83</v>
      </c>
      <c r="B5" s="359">
        <v>0.0084</v>
      </c>
      <c r="C5" s="351" t="str">
        <f t="shared" ref="C5:C6" si="1">A5</f>
        <v>25/09</v>
      </c>
      <c r="D5" s="360">
        <v>0.01</v>
      </c>
      <c r="E5" s="351" t="str">
        <f t="shared" ref="E5:E6" si="2">A5</f>
        <v>25/09</v>
      </c>
      <c r="F5" s="361">
        <v>0.0051</v>
      </c>
      <c r="G5" s="351" t="str">
        <f t="shared" ref="G5:G6" si="3">A5</f>
        <v>25/09</v>
      </c>
      <c r="H5" s="362">
        <v>0.0072</v>
      </c>
      <c r="I5" s="351" t="str">
        <f t="shared" ref="I5:I6" si="4">A5</f>
        <v>25/09</v>
      </c>
      <c r="J5" s="363">
        <v>0.0099</v>
      </c>
      <c r="K5" s="351" t="str">
        <f t="shared" ref="K5:K6" si="5">A5</f>
        <v>25/09</v>
      </c>
      <c r="L5" s="364">
        <v>0.0076</v>
      </c>
      <c r="M5" s="351" t="str">
        <f t="shared" ref="M5:M6" si="6">A5</f>
        <v>25/09</v>
      </c>
      <c r="N5" s="365">
        <v>0.0062</v>
      </c>
      <c r="O5" s="351" t="str">
        <f t="shared" ref="O5:O6" si="7">A5</f>
        <v>25/09</v>
      </c>
      <c r="P5" s="366">
        <v>0.0067</v>
      </c>
      <c r="Q5" s="351" t="str">
        <f t="shared" ref="Q5:Q6" si="8">A5</f>
        <v>25/09</v>
      </c>
      <c r="R5" s="367">
        <v>0.0119</v>
      </c>
      <c r="S5" s="1"/>
      <c r="T5" s="1"/>
      <c r="U5" s="1"/>
      <c r="V5" s="1"/>
      <c r="W5" s="1"/>
      <c r="X5" s="1"/>
      <c r="Y5" s="1"/>
      <c r="Z5" s="1"/>
    </row>
    <row r="6">
      <c r="A6" s="351" t="s">
        <v>84</v>
      </c>
      <c r="B6" s="368">
        <v>0.0079</v>
      </c>
      <c r="C6" s="351" t="str">
        <f t="shared" si="1"/>
        <v>25/10</v>
      </c>
      <c r="D6" s="369">
        <v>0.0085</v>
      </c>
      <c r="E6" s="351" t="str">
        <f t="shared" si="2"/>
        <v>25/10</v>
      </c>
      <c r="F6" s="361">
        <v>0.0049</v>
      </c>
      <c r="G6" s="351" t="str">
        <f t="shared" si="3"/>
        <v>25/10</v>
      </c>
      <c r="H6" s="370">
        <v>0.0075</v>
      </c>
      <c r="I6" s="351" t="str">
        <f t="shared" si="4"/>
        <v>25/10</v>
      </c>
      <c r="J6" s="371">
        <v>0.0089</v>
      </c>
      <c r="K6" s="351" t="str">
        <f t="shared" si="5"/>
        <v>25/10</v>
      </c>
      <c r="L6" s="371">
        <v>0.0089</v>
      </c>
      <c r="M6" s="351" t="str">
        <f t="shared" si="6"/>
        <v>25/10</v>
      </c>
      <c r="N6" s="372">
        <v>0.006</v>
      </c>
      <c r="O6" s="351" t="str">
        <f t="shared" si="7"/>
        <v>25/10</v>
      </c>
      <c r="P6" s="372">
        <v>0.006</v>
      </c>
      <c r="Q6" s="351" t="str">
        <f t="shared" si="8"/>
        <v>25/10</v>
      </c>
      <c r="R6" s="367">
        <v>0.0109</v>
      </c>
      <c r="S6" s="1"/>
      <c r="T6" s="1"/>
      <c r="U6" s="1"/>
      <c r="V6" s="1"/>
      <c r="W6" s="1"/>
      <c r="X6" s="1"/>
      <c r="Y6" s="1"/>
      <c r="Z6" s="1"/>
    </row>
    <row r="7">
      <c r="A7" s="373" t="s">
        <v>85</v>
      </c>
      <c r="B7" s="374">
        <v>0.0079</v>
      </c>
      <c r="C7" s="375" t="s">
        <v>86</v>
      </c>
      <c r="D7" s="374">
        <v>0.0085</v>
      </c>
      <c r="E7" s="375" t="s">
        <v>86</v>
      </c>
      <c r="F7" s="374">
        <v>0.003</v>
      </c>
      <c r="G7" s="375" t="s">
        <v>86</v>
      </c>
      <c r="H7" s="374">
        <v>0.0078</v>
      </c>
      <c r="I7" s="375" t="s">
        <v>86</v>
      </c>
      <c r="J7" s="374">
        <v>0.0083</v>
      </c>
      <c r="K7" s="375" t="s">
        <v>86</v>
      </c>
      <c r="L7" s="374">
        <v>0.0068</v>
      </c>
      <c r="M7" s="375" t="s">
        <v>86</v>
      </c>
      <c r="N7" s="374">
        <v>0.0076</v>
      </c>
      <c r="O7" s="375" t="s">
        <v>86</v>
      </c>
      <c r="P7" s="374">
        <v>0.008</v>
      </c>
      <c r="Q7" s="375" t="s">
        <v>86</v>
      </c>
      <c r="R7" s="374">
        <v>0.0113</v>
      </c>
      <c r="S7" s="376"/>
      <c r="T7" s="376"/>
      <c r="U7" s="376"/>
      <c r="V7" s="376"/>
      <c r="W7" s="376"/>
      <c r="X7" s="376"/>
      <c r="Y7" s="376"/>
      <c r="Z7" s="376"/>
    </row>
    <row r="8">
      <c r="A8" s="373" t="s">
        <v>87</v>
      </c>
      <c r="B8" s="377">
        <v>0.00840553036764375</v>
      </c>
      <c r="C8" s="375" t="str">
        <f t="shared" ref="C8:C9" si="9">A8</f>
        <v>25/12(e)</v>
      </c>
      <c r="D8" s="377">
        <v>0.00950832994717594</v>
      </c>
      <c r="E8" s="375" t="str">
        <f t="shared" ref="E8:E9" si="10">C8</f>
        <v>25/12(e)</v>
      </c>
      <c r="F8" s="377">
        <v>0.00368154624942475</v>
      </c>
      <c r="G8" s="375" t="str">
        <f t="shared" ref="G8:G9" si="11">E8</f>
        <v>25/12(e)</v>
      </c>
      <c r="H8" s="377">
        <v>0.00842130233661487</v>
      </c>
      <c r="I8" s="375" t="str">
        <f t="shared" ref="I8:I9" si="12">G8</f>
        <v>25/12(e)</v>
      </c>
      <c r="J8" s="377">
        <v>0.00888344310001531</v>
      </c>
      <c r="K8" s="375" t="str">
        <f t="shared" ref="K8:K9" si="13">I8</f>
        <v>25/12(e)</v>
      </c>
      <c r="L8" s="377">
        <v>0.00796405962834388</v>
      </c>
      <c r="M8" s="375" t="str">
        <f t="shared" ref="M8:M9" si="14">K8</f>
        <v>25/12(e)</v>
      </c>
      <c r="N8" s="377">
        <v>0.00745033112582781</v>
      </c>
      <c r="O8" s="375" t="str">
        <f t="shared" ref="O8:O9" si="15">M8</f>
        <v>25/12(e)</v>
      </c>
      <c r="P8" s="377">
        <v>0.00770280811232449</v>
      </c>
      <c r="Q8" s="375" t="str">
        <f t="shared" ref="Q8:Q9" si="16">O8</f>
        <v>25/12(e)</v>
      </c>
      <c r="R8" s="377">
        <v>0.0119443501866304</v>
      </c>
      <c r="S8" s="376"/>
      <c r="T8" s="376"/>
      <c r="U8" s="376"/>
      <c r="V8" s="376"/>
      <c r="W8" s="376"/>
      <c r="X8" s="376"/>
      <c r="Y8" s="376"/>
      <c r="Z8" s="376"/>
    </row>
    <row r="9">
      <c r="A9" s="373" t="s">
        <v>88</v>
      </c>
      <c r="B9" s="377">
        <v>0.00980832248507429</v>
      </c>
      <c r="C9" s="375" t="str">
        <f t="shared" si="9"/>
        <v>26/1(e)</v>
      </c>
      <c r="D9" s="377">
        <v>0.0104835432750914</v>
      </c>
      <c r="E9" s="375" t="str">
        <f t="shared" si="10"/>
        <v>26/1(e)</v>
      </c>
      <c r="F9" s="377">
        <v>0.00460193281178094</v>
      </c>
      <c r="G9" s="375" t="str">
        <f t="shared" si="11"/>
        <v>26/1(e)</v>
      </c>
      <c r="H9" s="377">
        <v>0.00901435179693986</v>
      </c>
      <c r="I9" s="375" t="str">
        <f t="shared" si="12"/>
        <v>26/1(e)</v>
      </c>
      <c r="J9" s="377">
        <v>0.0104916526267422</v>
      </c>
      <c r="K9" s="375" t="str">
        <f t="shared" si="13"/>
        <v>26/1(e)</v>
      </c>
      <c r="L9" s="377">
        <v>0.00898509291402899</v>
      </c>
      <c r="M9" s="375" t="str">
        <f t="shared" si="14"/>
        <v>26/1(e)</v>
      </c>
      <c r="N9" s="377">
        <v>0.00983029801324503</v>
      </c>
      <c r="O9" s="375" t="str">
        <f t="shared" si="15"/>
        <v>26/1(e)</v>
      </c>
      <c r="P9" s="377">
        <v>0.00975039001560062</v>
      </c>
      <c r="Q9" s="375" t="str">
        <f t="shared" si="16"/>
        <v>26/1(e)</v>
      </c>
      <c r="R9" s="377">
        <v>0.0135052595860196</v>
      </c>
      <c r="S9" s="376"/>
      <c r="T9" s="376"/>
      <c r="U9" s="376"/>
      <c r="V9" s="376"/>
      <c r="W9" s="376"/>
      <c r="X9" s="376"/>
      <c r="Y9" s="376"/>
      <c r="Z9" s="376"/>
    </row>
    <row r="10">
      <c r="A10" s="1"/>
      <c r="B10" s="1"/>
      <c r="C10" s="1"/>
      <c r="D10" s="378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26">
      <c r="C26" s="37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80" t="s">
        <v>78</v>
      </c>
      <c r="B1" s="381" t="s">
        <v>89</v>
      </c>
      <c r="C1" s="380" t="s">
        <v>47</v>
      </c>
      <c r="D1" s="381" t="s">
        <v>89</v>
      </c>
      <c r="E1" s="380" t="s">
        <v>48</v>
      </c>
      <c r="F1" s="381" t="s">
        <v>89</v>
      </c>
      <c r="G1" s="380" t="s">
        <v>49</v>
      </c>
      <c r="H1" s="381" t="s">
        <v>89</v>
      </c>
      <c r="I1" s="380" t="s">
        <v>50</v>
      </c>
      <c r="J1" s="381" t="s">
        <v>89</v>
      </c>
      <c r="K1" s="380" t="s">
        <v>51</v>
      </c>
      <c r="L1" s="381" t="s">
        <v>89</v>
      </c>
      <c r="M1" s="380" t="s">
        <v>52</v>
      </c>
      <c r="N1" s="381" t="s">
        <v>89</v>
      </c>
      <c r="O1" s="380" t="s">
        <v>53</v>
      </c>
      <c r="P1" s="381" t="s">
        <v>89</v>
      </c>
      <c r="Q1" s="380" t="s">
        <v>54</v>
      </c>
      <c r="R1" s="381" t="s">
        <v>89</v>
      </c>
    </row>
    <row r="2">
      <c r="A2" s="382" t="s">
        <v>80</v>
      </c>
      <c r="B2" s="383">
        <v>0.0045</v>
      </c>
      <c r="C2" s="382" t="s">
        <v>80</v>
      </c>
      <c r="D2" s="383">
        <v>0.0057</v>
      </c>
      <c r="E2" s="382" t="s">
        <v>80</v>
      </c>
      <c r="F2" s="383">
        <v>0.0054</v>
      </c>
      <c r="G2" s="382" t="s">
        <v>80</v>
      </c>
      <c r="H2" s="383">
        <v>0.0058</v>
      </c>
      <c r="I2" s="382" t="s">
        <v>80</v>
      </c>
      <c r="J2" s="383">
        <v>0.0039</v>
      </c>
      <c r="K2" s="382" t="s">
        <v>80</v>
      </c>
      <c r="L2" s="383">
        <v>0.0021</v>
      </c>
      <c r="M2" s="382" t="s">
        <v>80</v>
      </c>
      <c r="N2" s="383">
        <v>0.0032</v>
      </c>
      <c r="O2" s="382" t="s">
        <v>80</v>
      </c>
      <c r="P2" s="383">
        <v>0.0014</v>
      </c>
      <c r="Q2" s="382" t="s">
        <v>80</v>
      </c>
      <c r="R2" s="383">
        <v>0.0027</v>
      </c>
    </row>
    <row r="3">
      <c r="A3" s="384" t="s">
        <v>81</v>
      </c>
      <c r="B3" s="385">
        <v>0.0028</v>
      </c>
      <c r="C3" s="384" t="s">
        <v>81</v>
      </c>
      <c r="D3" s="386">
        <v>0.0065</v>
      </c>
      <c r="E3" s="384" t="s">
        <v>81</v>
      </c>
      <c r="F3" s="386">
        <v>0.0064</v>
      </c>
      <c r="G3" s="384" t="s">
        <v>81</v>
      </c>
      <c r="H3" s="386">
        <v>0.0078</v>
      </c>
      <c r="I3" s="384" t="s">
        <v>81</v>
      </c>
      <c r="J3" s="386">
        <v>0.005</v>
      </c>
      <c r="K3" s="384" t="s">
        <v>81</v>
      </c>
      <c r="L3" s="386">
        <v>0.0026</v>
      </c>
      <c r="M3" s="384" t="s">
        <v>81</v>
      </c>
      <c r="N3" s="386">
        <v>0.0026</v>
      </c>
      <c r="O3" s="384" t="s">
        <v>81</v>
      </c>
      <c r="P3" s="386">
        <v>0.0019</v>
      </c>
      <c r="Q3" s="384" t="s">
        <v>81</v>
      </c>
      <c r="R3" s="386">
        <v>0.0037</v>
      </c>
      <c r="S3" s="1"/>
      <c r="T3" s="1"/>
      <c r="U3" s="1"/>
      <c r="V3" s="1"/>
      <c r="W3" s="1"/>
      <c r="X3" s="1"/>
      <c r="Y3" s="1"/>
      <c r="Z3" s="1"/>
    </row>
    <row r="4">
      <c r="A4" s="384" t="s">
        <v>82</v>
      </c>
      <c r="B4" s="387">
        <v>0.0025</v>
      </c>
      <c r="C4" s="388" t="s">
        <v>82</v>
      </c>
      <c r="D4" s="389">
        <v>0.0031</v>
      </c>
      <c r="E4" s="388" t="s">
        <v>82</v>
      </c>
      <c r="F4" s="389">
        <v>0.0038</v>
      </c>
      <c r="G4" s="388" t="s">
        <v>82</v>
      </c>
      <c r="H4" s="389">
        <v>0.0047</v>
      </c>
      <c r="I4" s="388" t="s">
        <v>82</v>
      </c>
      <c r="J4" s="389">
        <v>0.0038</v>
      </c>
      <c r="K4" s="388" t="s">
        <v>82</v>
      </c>
      <c r="L4" s="390">
        <v>0.0012</v>
      </c>
      <c r="M4" s="388" t="s">
        <v>82</v>
      </c>
      <c r="N4" s="390">
        <v>0.0017</v>
      </c>
      <c r="O4" s="388" t="s">
        <v>82</v>
      </c>
      <c r="P4" s="390">
        <v>6.0E-4</v>
      </c>
      <c r="Q4" s="388" t="s">
        <v>82</v>
      </c>
      <c r="R4" s="390">
        <v>0.0017</v>
      </c>
      <c r="S4" s="1"/>
      <c r="T4" s="1"/>
      <c r="U4" s="1"/>
      <c r="V4" s="1"/>
      <c r="W4" s="1"/>
      <c r="X4" s="1"/>
      <c r="Y4" s="1"/>
      <c r="Z4" s="1"/>
    </row>
    <row r="5">
      <c r="A5" s="384" t="str">
        <f>'기관정지율'!A4</f>
        <v>25/08</v>
      </c>
      <c r="B5" s="391">
        <v>0.002</v>
      </c>
      <c r="C5" s="384" t="str">
        <f t="shared" ref="C5:C6" si="1">A5</f>
        <v>25/08</v>
      </c>
      <c r="D5" s="392">
        <v>0.0022</v>
      </c>
      <c r="E5" s="384" t="str">
        <f t="shared" ref="E5:E6" si="2">A5</f>
        <v>25/08</v>
      </c>
      <c r="F5" s="367">
        <v>0.0047</v>
      </c>
      <c r="G5" s="384" t="str">
        <f t="shared" ref="G5:G6" si="3">A5</f>
        <v>25/08</v>
      </c>
      <c r="H5" s="393">
        <v>0.0038</v>
      </c>
      <c r="I5" s="384" t="str">
        <f t="shared" ref="I5:I6" si="4">A5</f>
        <v>25/08</v>
      </c>
      <c r="J5" s="394">
        <v>0.0016</v>
      </c>
      <c r="K5" s="384" t="str">
        <f t="shared" ref="K5:K6" si="5">A5</f>
        <v>25/08</v>
      </c>
      <c r="L5" s="361">
        <v>4.0E-4</v>
      </c>
      <c r="M5" s="384" t="str">
        <f t="shared" ref="M5:M6" si="6">A5</f>
        <v>25/08</v>
      </c>
      <c r="N5" s="395">
        <v>0.0011</v>
      </c>
      <c r="O5" s="384" t="str">
        <f t="shared" ref="O5:O6" si="7">M5</f>
        <v>25/08</v>
      </c>
      <c r="P5" s="396">
        <v>9.0E-4</v>
      </c>
      <c r="Q5" s="384" t="str">
        <f t="shared" ref="Q5:Q6" si="8">O5</f>
        <v>25/08</v>
      </c>
      <c r="R5" s="397">
        <v>0.0018</v>
      </c>
      <c r="S5" s="1"/>
      <c r="T5" s="1"/>
      <c r="U5" s="1"/>
      <c r="V5" s="1"/>
      <c r="W5" s="1"/>
      <c r="X5" s="1"/>
      <c r="Y5" s="1"/>
      <c r="Z5" s="1"/>
    </row>
    <row r="6">
      <c r="A6" s="384" t="str">
        <f>'기관정지율'!A5</f>
        <v>25/09</v>
      </c>
      <c r="B6" s="367">
        <v>0.0017</v>
      </c>
      <c r="C6" s="384" t="str">
        <f t="shared" si="1"/>
        <v>25/09</v>
      </c>
      <c r="D6" s="398">
        <v>0.0019</v>
      </c>
      <c r="E6" s="384" t="str">
        <f t="shared" si="2"/>
        <v>25/09</v>
      </c>
      <c r="F6" s="367">
        <v>0.0037</v>
      </c>
      <c r="G6" s="384" t="str">
        <f t="shared" si="3"/>
        <v>25/09</v>
      </c>
      <c r="H6" s="399">
        <v>0.003</v>
      </c>
      <c r="I6" s="384" t="str">
        <f t="shared" si="4"/>
        <v>25/09</v>
      </c>
      <c r="J6" s="400">
        <v>0.0011</v>
      </c>
      <c r="K6" s="384" t="str">
        <f t="shared" si="5"/>
        <v>25/09</v>
      </c>
      <c r="L6" s="401">
        <v>5.0E-4</v>
      </c>
      <c r="M6" s="384" t="str">
        <f t="shared" si="6"/>
        <v>25/09</v>
      </c>
      <c r="N6" s="402">
        <v>0.001</v>
      </c>
      <c r="O6" s="384" t="str">
        <f t="shared" si="7"/>
        <v>25/09</v>
      </c>
      <c r="P6" s="403">
        <v>7.0E-4</v>
      </c>
      <c r="Q6" s="384" t="str">
        <f t="shared" si="8"/>
        <v>25/09</v>
      </c>
      <c r="R6" s="404">
        <v>0.0017</v>
      </c>
      <c r="S6" s="1"/>
      <c r="T6" s="1"/>
      <c r="U6" s="1"/>
      <c r="V6" s="1"/>
      <c r="W6" s="1"/>
      <c r="X6" s="1"/>
      <c r="Y6" s="1"/>
      <c r="Z6" s="1"/>
    </row>
    <row r="7">
      <c r="A7" s="405" t="s">
        <v>86</v>
      </c>
      <c r="B7" s="374">
        <v>0.0015</v>
      </c>
      <c r="C7" s="406" t="s">
        <v>86</v>
      </c>
      <c r="D7" s="374">
        <v>0.0016</v>
      </c>
      <c r="E7" s="406" t="s">
        <v>86</v>
      </c>
      <c r="F7" s="374">
        <v>0.0024</v>
      </c>
      <c r="G7" s="406" t="s">
        <v>86</v>
      </c>
      <c r="H7" s="374">
        <v>0.0021</v>
      </c>
      <c r="I7" s="406" t="s">
        <v>86</v>
      </c>
      <c r="J7" s="374">
        <v>0.0016</v>
      </c>
      <c r="K7" s="406" t="s">
        <v>86</v>
      </c>
      <c r="L7" s="374">
        <v>6.0E-4</v>
      </c>
      <c r="M7" s="406" t="s">
        <v>86</v>
      </c>
      <c r="N7" s="374">
        <v>0.0012</v>
      </c>
      <c r="O7" s="406" t="s">
        <v>86</v>
      </c>
      <c r="P7" s="374">
        <v>9.0E-4</v>
      </c>
      <c r="Q7" s="406" t="s">
        <v>86</v>
      </c>
      <c r="R7" s="374">
        <v>0.0012</v>
      </c>
      <c r="S7" s="376"/>
      <c r="T7" s="376"/>
      <c r="U7" s="376"/>
      <c r="V7" s="376"/>
      <c r="W7" s="376"/>
      <c r="X7" s="376"/>
      <c r="Y7" s="376"/>
      <c r="Z7" s="376"/>
    </row>
    <row r="8">
      <c r="A8" s="373" t="str">
        <f>'기관정지율'!A7</f>
        <v>25/11</v>
      </c>
      <c r="B8" s="407">
        <v>0.00199757597522108</v>
      </c>
      <c r="C8" s="375" t="str">
        <f t="shared" ref="C8:C9" si="9">A8</f>
        <v>25/11</v>
      </c>
      <c r="D8" s="377">
        <v>0.00414465664364079</v>
      </c>
      <c r="E8" s="375" t="str">
        <f t="shared" ref="E8:E9" si="10">C8</f>
        <v>25/11</v>
      </c>
      <c r="F8" s="377">
        <v>0.00184077312471237</v>
      </c>
      <c r="G8" s="375" t="str">
        <f t="shared" ref="G8:G9" si="11">E8</f>
        <v>25/11</v>
      </c>
      <c r="H8" s="377">
        <v>0.00272802751749495</v>
      </c>
      <c r="I8" s="375" t="str">
        <f t="shared" ref="I8:I9" si="12">G8</f>
        <v>25/11</v>
      </c>
      <c r="J8" s="377">
        <v>0.00222086077500382</v>
      </c>
      <c r="K8" s="375" t="str">
        <f t="shared" ref="K8:K9" si="13">I8</f>
        <v>25/11</v>
      </c>
      <c r="L8" s="377">
        <v>9.18929957116602E-4</v>
      </c>
      <c r="M8" s="375" t="str">
        <f t="shared" ref="M8:M9" si="14">K8</f>
        <v>25/11</v>
      </c>
      <c r="N8" s="377">
        <v>0.00103476821192052</v>
      </c>
      <c r="O8" s="375" t="str">
        <f t="shared" ref="O8:O9" si="15">M8</f>
        <v>25/11</v>
      </c>
      <c r="P8" s="377">
        <v>0.00146255850234009</v>
      </c>
      <c r="Q8" s="375" t="str">
        <f t="shared" ref="Q8:Q9" si="16">O8</f>
        <v>25/11</v>
      </c>
      <c r="R8" s="377">
        <v>0.0014251781472684</v>
      </c>
      <c r="S8" s="376"/>
      <c r="T8" s="376"/>
      <c r="U8" s="376"/>
      <c r="V8" s="376"/>
      <c r="W8" s="376"/>
      <c r="X8" s="376"/>
      <c r="Y8" s="376"/>
      <c r="Z8" s="376"/>
    </row>
    <row r="9">
      <c r="A9" s="373" t="str">
        <f>'기관정지율'!A8</f>
        <v>25/12(e)</v>
      </c>
      <c r="B9" s="377">
        <v>0.00196390896440274</v>
      </c>
      <c r="C9" s="375" t="str">
        <f t="shared" si="9"/>
        <v>25/12(e)</v>
      </c>
      <c r="D9" s="377">
        <v>0.00398212108898821</v>
      </c>
      <c r="E9" s="375" t="str">
        <f t="shared" si="10"/>
        <v>25/12(e)</v>
      </c>
      <c r="F9" s="377">
        <v>0.00184077312471237</v>
      </c>
      <c r="G9" s="375" t="str">
        <f t="shared" si="11"/>
        <v>25/12(e)</v>
      </c>
      <c r="H9" s="377">
        <v>0.00284663740955995</v>
      </c>
      <c r="I9" s="375" t="str">
        <f t="shared" si="12"/>
        <v>25/12(e)</v>
      </c>
      <c r="J9" s="377">
        <v>0.00222086077500382</v>
      </c>
      <c r="K9" s="375" t="str">
        <f t="shared" si="13"/>
        <v>25/12(e)</v>
      </c>
      <c r="L9" s="377">
        <v>9.18929957116602E-4</v>
      </c>
      <c r="M9" s="375" t="str">
        <f t="shared" si="14"/>
        <v>25/12(e)</v>
      </c>
      <c r="N9" s="377">
        <v>0.00103476821192052</v>
      </c>
      <c r="O9" s="375" t="str">
        <f t="shared" si="15"/>
        <v>25/12(e)</v>
      </c>
      <c r="P9" s="377">
        <v>0.00107254290171606</v>
      </c>
      <c r="Q9" s="375" t="str">
        <f t="shared" si="16"/>
        <v>25/12(e)</v>
      </c>
      <c r="R9" s="377">
        <v>0.0015609093993892</v>
      </c>
      <c r="S9" s="376"/>
      <c r="T9" s="376"/>
      <c r="U9" s="376"/>
      <c r="V9" s="376"/>
      <c r="W9" s="376"/>
      <c r="X9" s="376"/>
      <c r="Y9" s="376"/>
      <c r="Z9" s="376"/>
    </row>
  </sheetData>
  <drawing r:id="rId1"/>
</worksheet>
</file>